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arth\Downloads\"/>
    </mc:Choice>
  </mc:AlternateContent>
  <xr:revisionPtr revIDLastSave="0" documentId="13_ncr:1_{8E761A5A-8687-4518-940A-CD2E2DA1DAA5}" xr6:coauthVersionLast="47" xr6:coauthVersionMax="47" xr10:uidLastSave="{00000000-0000-0000-0000-000000000000}"/>
  <bookViews>
    <workbookView xWindow="-110" yWindow="-110" windowWidth="19420" windowHeight="11500" firstSheet="1" activeTab="2" xr2:uid="{48D64FBC-216D-4A90-AFB4-335DAB494265}"/>
  </bookViews>
  <sheets>
    <sheet name="Detail1" sheetId="3" state="hidden" r:id="rId1"/>
    <sheet name="PIVOT TABLE" sheetId="2" r:id="rId2"/>
    <sheet name="AVP DASHBOARD" sheetId="7" r:id="rId3"/>
    <sheet name="DASHBOARD" sheetId="4" state="hidden" r:id="rId4"/>
    <sheet name="Sheet1" sheetId="8" state="hidden" r:id="rId5"/>
    <sheet name="SOURCE DATA" sheetId="1" r:id="rId6"/>
    <sheet name="Sheet4" sheetId="5" state="hidden" r:id="rId7"/>
  </sheets>
  <definedNames>
    <definedName name="_xlchart.v1.0" hidden="1">'PIVOT TABLE'!$I$47:$I$57</definedName>
    <definedName name="_xlchart.v1.1" hidden="1">'PIVOT TABLE'!$J$46</definedName>
    <definedName name="_xlchart.v1.10" hidden="1">'PIVOT TABLE'!$I$47:$I$57</definedName>
    <definedName name="_xlchart.v1.11" hidden="1">'PIVOT TABLE'!$J$46</definedName>
    <definedName name="_xlchart.v1.12" hidden="1">'PIVOT TABLE'!$J$47:$J$57</definedName>
    <definedName name="_xlchart.v1.13" hidden="1">'PIVOT TABLE'!$K$46</definedName>
    <definedName name="_xlchart.v1.14" hidden="1">'PIVOT TABLE'!$K$47:$K$57</definedName>
    <definedName name="_xlchart.v1.15" hidden="1">'PIVOT TABLE'!$I$47:$I$57</definedName>
    <definedName name="_xlchart.v1.16" hidden="1">'PIVOT TABLE'!$J$46</definedName>
    <definedName name="_xlchart.v1.17" hidden="1">'PIVOT TABLE'!$J$47:$J$57</definedName>
    <definedName name="_xlchart.v1.18" hidden="1">'PIVOT TABLE'!$K$46</definedName>
    <definedName name="_xlchart.v1.19" hidden="1">'PIVOT TABLE'!$K$47:$K$57</definedName>
    <definedName name="_xlchart.v1.2" hidden="1">'PIVOT TABLE'!$J$47:$J$57</definedName>
    <definedName name="_xlchart.v1.3" hidden="1">'PIVOT TABLE'!$K$46</definedName>
    <definedName name="_xlchart.v1.4" hidden="1">'PIVOT TABLE'!$K$47:$K$57</definedName>
    <definedName name="_xlchart.v1.5" hidden="1">'PIVOT TABLE'!$I$47:$I$57</definedName>
    <definedName name="_xlchart.v1.6" hidden="1">'PIVOT TABLE'!$J$46</definedName>
    <definedName name="_xlchart.v1.7" hidden="1">'PIVOT TABLE'!$J$47:$J$57</definedName>
    <definedName name="_xlchart.v1.8" hidden="1">'PIVOT TABLE'!$K$46</definedName>
    <definedName name="_xlchart.v1.9" hidden="1">'PIVOT TABLE'!$K$47:$K$57</definedName>
    <definedName name="Slicer_Month">#N/A</definedName>
    <definedName name="Slicer_Vendor_Name1">#N/A</definedName>
  </definedNames>
  <calcPr calcId="191029"/>
  <pivotCaches>
    <pivotCache cacheId="56"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7" l="1"/>
  <c r="Q20" i="2"/>
  <c r="Q19" i="2"/>
  <c r="Q18" i="2"/>
  <c r="L19" i="2"/>
  <c r="L20" i="2"/>
  <c r="L21" i="2"/>
  <c r="L22" i="2"/>
  <c r="L23" i="2"/>
  <c r="L24" i="2"/>
  <c r="L25" i="2"/>
  <c r="L26" i="2"/>
  <c r="L27" i="2"/>
  <c r="L28" i="2"/>
  <c r="L18" i="2"/>
  <c r="M18" i="2" s="1"/>
  <c r="N18" i="2" s="1"/>
  <c r="N14" i="7"/>
  <c r="N13" i="7"/>
  <c r="N12" i="7"/>
  <c r="N11" i="7"/>
  <c r="N10" i="7"/>
  <c r="N9" i="7"/>
  <c r="P6" i="7"/>
  <c r="I6" i="7"/>
  <c r="E6" i="7"/>
  <c r="A6" i="7"/>
  <c r="R501" i="1"/>
  <c r="Q501" i="1"/>
  <c r="P501" i="1"/>
  <c r="O501" i="1"/>
  <c r="N501" i="1"/>
  <c r="L501" i="1"/>
  <c r="M501" i="1" s="1"/>
  <c r="R500" i="1"/>
  <c r="Q500" i="1"/>
  <c r="P500" i="1"/>
  <c r="O500" i="1"/>
  <c r="N500" i="1"/>
  <c r="L500" i="1"/>
  <c r="M500" i="1" s="1"/>
  <c r="Q499" i="1"/>
  <c r="P499" i="1"/>
  <c r="O499" i="1"/>
  <c r="N499" i="1"/>
  <c r="L499" i="1"/>
  <c r="R499" i="1" s="1"/>
  <c r="R498" i="1"/>
  <c r="Q498" i="1"/>
  <c r="S498" i="1" s="1"/>
  <c r="U498" i="1" s="1"/>
  <c r="P498" i="1"/>
  <c r="O498" i="1"/>
  <c r="N498" i="1"/>
  <c r="M498" i="1"/>
  <c r="L498" i="1"/>
  <c r="R497" i="1"/>
  <c r="Q497" i="1"/>
  <c r="S497" i="1" s="1"/>
  <c r="U497" i="1" s="1"/>
  <c r="P497" i="1"/>
  <c r="O497" i="1"/>
  <c r="N497" i="1"/>
  <c r="L497" i="1"/>
  <c r="M497" i="1" s="1"/>
  <c r="Q496" i="1"/>
  <c r="P496" i="1"/>
  <c r="O496" i="1"/>
  <c r="N496" i="1"/>
  <c r="L496" i="1"/>
  <c r="M496" i="1" s="1"/>
  <c r="Q495" i="1"/>
  <c r="P495" i="1"/>
  <c r="O495" i="1"/>
  <c r="N495" i="1"/>
  <c r="L495" i="1"/>
  <c r="R494" i="1"/>
  <c r="Q494" i="1"/>
  <c r="P494" i="1"/>
  <c r="O494" i="1"/>
  <c r="N494" i="1"/>
  <c r="M494" i="1"/>
  <c r="S494" i="1" s="1"/>
  <c r="U494" i="1" s="1"/>
  <c r="L494" i="1"/>
  <c r="Q493" i="1"/>
  <c r="P493" i="1"/>
  <c r="O493" i="1"/>
  <c r="N493" i="1"/>
  <c r="L493" i="1"/>
  <c r="R493" i="1" s="1"/>
  <c r="R492" i="1"/>
  <c r="Q492" i="1"/>
  <c r="P492" i="1"/>
  <c r="O492" i="1"/>
  <c r="S492" i="1" s="1"/>
  <c r="U492" i="1" s="1"/>
  <c r="N492" i="1"/>
  <c r="M492" i="1"/>
  <c r="L492" i="1"/>
  <c r="R491" i="1"/>
  <c r="Q491" i="1"/>
  <c r="P491" i="1"/>
  <c r="O491" i="1"/>
  <c r="N491" i="1"/>
  <c r="M491" i="1"/>
  <c r="L491" i="1"/>
  <c r="R490" i="1"/>
  <c r="Q490" i="1"/>
  <c r="P490" i="1"/>
  <c r="O490" i="1"/>
  <c r="N490" i="1"/>
  <c r="L490" i="1"/>
  <c r="M490" i="1" s="1"/>
  <c r="Q489" i="1"/>
  <c r="P489" i="1"/>
  <c r="O489" i="1"/>
  <c r="N489" i="1"/>
  <c r="L489" i="1"/>
  <c r="Q488" i="1"/>
  <c r="P488" i="1"/>
  <c r="O488" i="1"/>
  <c r="N488" i="1"/>
  <c r="L488" i="1"/>
  <c r="Q487" i="1"/>
  <c r="P487" i="1"/>
  <c r="O487" i="1"/>
  <c r="N487" i="1"/>
  <c r="L487" i="1"/>
  <c r="M487" i="1" s="1"/>
  <c r="Q486" i="1"/>
  <c r="P486" i="1"/>
  <c r="O486" i="1"/>
  <c r="N486" i="1"/>
  <c r="M486" i="1"/>
  <c r="S486" i="1" s="1"/>
  <c r="U486" i="1" s="1"/>
  <c r="L486" i="1"/>
  <c r="R486" i="1" s="1"/>
  <c r="Q485" i="1"/>
  <c r="P485" i="1"/>
  <c r="O485" i="1"/>
  <c r="N485" i="1"/>
  <c r="L485" i="1"/>
  <c r="R484" i="1"/>
  <c r="Q484" i="1"/>
  <c r="P484" i="1"/>
  <c r="O484" i="1"/>
  <c r="N484" i="1"/>
  <c r="M484" i="1"/>
  <c r="S484" i="1" s="1"/>
  <c r="U484" i="1" s="1"/>
  <c r="L484" i="1"/>
  <c r="R483" i="1"/>
  <c r="Q483" i="1"/>
  <c r="P483" i="1"/>
  <c r="O483" i="1"/>
  <c r="N483" i="1"/>
  <c r="M483" i="1"/>
  <c r="L483" i="1"/>
  <c r="R482" i="1"/>
  <c r="Q482" i="1"/>
  <c r="S482" i="1" s="1"/>
  <c r="U482" i="1" s="1"/>
  <c r="P482" i="1"/>
  <c r="O482" i="1"/>
  <c r="N482" i="1"/>
  <c r="L482" i="1"/>
  <c r="M482" i="1" s="1"/>
  <c r="R481" i="1"/>
  <c r="Q481" i="1"/>
  <c r="P481" i="1"/>
  <c r="O481" i="1"/>
  <c r="N481" i="1"/>
  <c r="L481" i="1"/>
  <c r="M481" i="1" s="1"/>
  <c r="S481" i="1" s="1"/>
  <c r="U481" i="1" s="1"/>
  <c r="R480" i="1"/>
  <c r="Q480" i="1"/>
  <c r="P480" i="1"/>
  <c r="O480" i="1"/>
  <c r="N480" i="1"/>
  <c r="M480" i="1"/>
  <c r="S480" i="1" s="1"/>
  <c r="U480" i="1" s="1"/>
  <c r="L480" i="1"/>
  <c r="Q479" i="1"/>
  <c r="P479" i="1"/>
  <c r="O479" i="1"/>
  <c r="N479" i="1"/>
  <c r="L479" i="1"/>
  <c r="R479" i="1" s="1"/>
  <c r="Q478" i="1"/>
  <c r="P478" i="1"/>
  <c r="O478" i="1"/>
  <c r="N478" i="1"/>
  <c r="M478" i="1"/>
  <c r="L478" i="1"/>
  <c r="R478" i="1" s="1"/>
  <c r="R477" i="1"/>
  <c r="Q477" i="1"/>
  <c r="P477" i="1"/>
  <c r="O477" i="1"/>
  <c r="N477" i="1"/>
  <c r="L477" i="1"/>
  <c r="M477" i="1" s="1"/>
  <c r="R476" i="1"/>
  <c r="Q476" i="1"/>
  <c r="P476" i="1"/>
  <c r="O476" i="1"/>
  <c r="S476" i="1" s="1"/>
  <c r="U476" i="1" s="1"/>
  <c r="N476" i="1"/>
  <c r="M476" i="1"/>
  <c r="L476" i="1"/>
  <c r="Q475" i="1"/>
  <c r="P475" i="1"/>
  <c r="O475" i="1"/>
  <c r="N475" i="1"/>
  <c r="L475" i="1"/>
  <c r="R474" i="1"/>
  <c r="Q474" i="1"/>
  <c r="P474" i="1"/>
  <c r="O474" i="1"/>
  <c r="N474" i="1"/>
  <c r="M474" i="1"/>
  <c r="S474" i="1" s="1"/>
  <c r="U474" i="1" s="1"/>
  <c r="L474" i="1"/>
  <c r="Q473" i="1"/>
  <c r="P473" i="1"/>
  <c r="O473" i="1"/>
  <c r="N473" i="1"/>
  <c r="M473" i="1"/>
  <c r="S473" i="1" s="1"/>
  <c r="U473" i="1" s="1"/>
  <c r="L473" i="1"/>
  <c r="R473" i="1" s="1"/>
  <c r="R472" i="1"/>
  <c r="Q472" i="1"/>
  <c r="P472" i="1"/>
  <c r="O472" i="1"/>
  <c r="N472" i="1"/>
  <c r="M472" i="1"/>
  <c r="L472" i="1"/>
  <c r="R471" i="1"/>
  <c r="Q471" i="1"/>
  <c r="P471" i="1"/>
  <c r="O471" i="1"/>
  <c r="N471" i="1"/>
  <c r="M471" i="1"/>
  <c r="S471" i="1" s="1"/>
  <c r="U471" i="1" s="1"/>
  <c r="L471" i="1"/>
  <c r="Q470" i="1"/>
  <c r="P470" i="1"/>
  <c r="O470" i="1"/>
  <c r="N470" i="1"/>
  <c r="L470" i="1"/>
  <c r="R470" i="1" s="1"/>
  <c r="Q469" i="1"/>
  <c r="S469" i="1" s="1"/>
  <c r="U469" i="1" s="1"/>
  <c r="P469" i="1"/>
  <c r="O469" i="1"/>
  <c r="N469" i="1"/>
  <c r="L469" i="1"/>
  <c r="M469" i="1" s="1"/>
  <c r="R468" i="1"/>
  <c r="Q468" i="1"/>
  <c r="S468" i="1" s="1"/>
  <c r="U468" i="1" s="1"/>
  <c r="P468" i="1"/>
  <c r="O468" i="1"/>
  <c r="N468" i="1"/>
  <c r="L468" i="1"/>
  <c r="M468" i="1" s="1"/>
  <c r="Q467" i="1"/>
  <c r="P467" i="1"/>
  <c r="O467" i="1"/>
  <c r="N467" i="1"/>
  <c r="L467" i="1"/>
  <c r="R467" i="1" s="1"/>
  <c r="Q466" i="1"/>
  <c r="P466" i="1"/>
  <c r="O466" i="1"/>
  <c r="N466" i="1"/>
  <c r="L466" i="1"/>
  <c r="Q465" i="1"/>
  <c r="P465" i="1"/>
  <c r="O465" i="1"/>
  <c r="N465" i="1"/>
  <c r="L465" i="1"/>
  <c r="R464" i="1"/>
  <c r="Q464" i="1"/>
  <c r="P464" i="1"/>
  <c r="O464" i="1"/>
  <c r="N464" i="1"/>
  <c r="L464" i="1"/>
  <c r="M464" i="1" s="1"/>
  <c r="Q463" i="1"/>
  <c r="P463" i="1"/>
  <c r="O463" i="1"/>
  <c r="N463" i="1"/>
  <c r="L463" i="1"/>
  <c r="R463" i="1" s="1"/>
  <c r="Q462" i="1"/>
  <c r="P462" i="1"/>
  <c r="O462" i="1"/>
  <c r="N462" i="1"/>
  <c r="L462" i="1"/>
  <c r="Q461" i="1"/>
  <c r="P461" i="1"/>
  <c r="O461" i="1"/>
  <c r="N461" i="1"/>
  <c r="L461" i="1"/>
  <c r="Q460" i="1"/>
  <c r="P460" i="1"/>
  <c r="O460" i="1"/>
  <c r="N460" i="1"/>
  <c r="M460" i="1"/>
  <c r="L460" i="1"/>
  <c r="R460" i="1" s="1"/>
  <c r="R459" i="1"/>
  <c r="Q459" i="1"/>
  <c r="P459" i="1"/>
  <c r="O459" i="1"/>
  <c r="N459" i="1"/>
  <c r="M459" i="1"/>
  <c r="L459" i="1"/>
  <c r="Q458" i="1"/>
  <c r="S458" i="1" s="1"/>
  <c r="U458" i="1" s="1"/>
  <c r="P458" i="1"/>
  <c r="O458" i="1"/>
  <c r="N458" i="1"/>
  <c r="M458" i="1"/>
  <c r="L458" i="1"/>
  <c r="R458" i="1" s="1"/>
  <c r="Q457" i="1"/>
  <c r="P457" i="1"/>
  <c r="O457" i="1"/>
  <c r="N457" i="1"/>
  <c r="M457" i="1"/>
  <c r="L457" i="1"/>
  <c r="R457" i="1" s="1"/>
  <c r="R456" i="1"/>
  <c r="Q456" i="1"/>
  <c r="S456" i="1" s="1"/>
  <c r="U456" i="1" s="1"/>
  <c r="P456" i="1"/>
  <c r="O456" i="1"/>
  <c r="N456" i="1"/>
  <c r="M456" i="1"/>
  <c r="L456" i="1"/>
  <c r="Q455" i="1"/>
  <c r="S455" i="1" s="1"/>
  <c r="U455" i="1" s="1"/>
  <c r="P455" i="1"/>
  <c r="O455" i="1"/>
  <c r="N455" i="1"/>
  <c r="M455" i="1"/>
  <c r="L455" i="1"/>
  <c r="R455" i="1" s="1"/>
  <c r="Q454" i="1"/>
  <c r="P454" i="1"/>
  <c r="O454" i="1"/>
  <c r="N454" i="1"/>
  <c r="L454" i="1"/>
  <c r="R453" i="1"/>
  <c r="Q453" i="1"/>
  <c r="S453" i="1" s="1"/>
  <c r="U453" i="1" s="1"/>
  <c r="P453" i="1"/>
  <c r="O453" i="1"/>
  <c r="N453" i="1"/>
  <c r="M453" i="1"/>
  <c r="L453" i="1"/>
  <c r="Q452" i="1"/>
  <c r="P452" i="1"/>
  <c r="O452" i="1"/>
  <c r="N452" i="1"/>
  <c r="L452" i="1"/>
  <c r="S451" i="1"/>
  <c r="U451" i="1" s="1"/>
  <c r="R451" i="1"/>
  <c r="Q451" i="1"/>
  <c r="P451" i="1"/>
  <c r="O451" i="1"/>
  <c r="N451" i="1"/>
  <c r="L451" i="1"/>
  <c r="M451" i="1" s="1"/>
  <c r="R450" i="1"/>
  <c r="Q450" i="1"/>
  <c r="P450" i="1"/>
  <c r="O450" i="1"/>
  <c r="N450" i="1"/>
  <c r="L450" i="1"/>
  <c r="M450" i="1" s="1"/>
  <c r="Q449" i="1"/>
  <c r="P449" i="1"/>
  <c r="O449" i="1"/>
  <c r="N449" i="1"/>
  <c r="L449" i="1"/>
  <c r="R449" i="1" s="1"/>
  <c r="Q448" i="1"/>
  <c r="P448" i="1"/>
  <c r="O448" i="1"/>
  <c r="N448" i="1"/>
  <c r="L448" i="1"/>
  <c r="R447" i="1"/>
  <c r="Q447" i="1"/>
  <c r="S447" i="1" s="1"/>
  <c r="U447" i="1" s="1"/>
  <c r="P447" i="1"/>
  <c r="O447" i="1"/>
  <c r="N447" i="1"/>
  <c r="L447" i="1"/>
  <c r="M447" i="1" s="1"/>
  <c r="Q446" i="1"/>
  <c r="P446" i="1"/>
  <c r="O446" i="1"/>
  <c r="N446" i="1"/>
  <c r="L446" i="1"/>
  <c r="Q445" i="1"/>
  <c r="P445" i="1"/>
  <c r="O445" i="1"/>
  <c r="N445" i="1"/>
  <c r="M445" i="1"/>
  <c r="L445" i="1"/>
  <c r="R445" i="1" s="1"/>
  <c r="Q444" i="1"/>
  <c r="P444" i="1"/>
  <c r="O444" i="1"/>
  <c r="N444" i="1"/>
  <c r="L444" i="1"/>
  <c r="R444" i="1" s="1"/>
  <c r="Q443" i="1"/>
  <c r="P443" i="1"/>
  <c r="O443" i="1"/>
  <c r="N443" i="1"/>
  <c r="L443" i="1"/>
  <c r="R442" i="1"/>
  <c r="Q442" i="1"/>
  <c r="P442" i="1"/>
  <c r="O442" i="1"/>
  <c r="N442" i="1"/>
  <c r="M442" i="1"/>
  <c r="S442" i="1" s="1"/>
  <c r="U442" i="1" s="1"/>
  <c r="L442" i="1"/>
  <c r="Q441" i="1"/>
  <c r="P441" i="1"/>
  <c r="O441" i="1"/>
  <c r="N441" i="1"/>
  <c r="L441" i="1"/>
  <c r="R441" i="1" s="1"/>
  <c r="Q440" i="1"/>
  <c r="P440" i="1"/>
  <c r="O440" i="1"/>
  <c r="N440" i="1"/>
  <c r="L440" i="1"/>
  <c r="R439" i="1"/>
  <c r="Q439" i="1"/>
  <c r="P439" i="1"/>
  <c r="O439" i="1"/>
  <c r="N439" i="1"/>
  <c r="M439" i="1"/>
  <c r="L439" i="1"/>
  <c r="R438" i="1"/>
  <c r="Q438" i="1"/>
  <c r="P438" i="1"/>
  <c r="O438" i="1"/>
  <c r="N438" i="1"/>
  <c r="M438" i="1"/>
  <c r="S438" i="1" s="1"/>
  <c r="U438" i="1" s="1"/>
  <c r="L438" i="1"/>
  <c r="R437" i="1"/>
  <c r="Q437" i="1"/>
  <c r="P437" i="1"/>
  <c r="O437" i="1"/>
  <c r="N437" i="1"/>
  <c r="M437" i="1"/>
  <c r="L437" i="1"/>
  <c r="R436" i="1"/>
  <c r="Q436" i="1"/>
  <c r="P436" i="1"/>
  <c r="O436" i="1"/>
  <c r="N436" i="1"/>
  <c r="M436" i="1"/>
  <c r="L436" i="1"/>
  <c r="Q435" i="1"/>
  <c r="P435" i="1"/>
  <c r="O435" i="1"/>
  <c r="N435" i="1"/>
  <c r="L435" i="1"/>
  <c r="R434" i="1"/>
  <c r="Q434" i="1"/>
  <c r="P434" i="1"/>
  <c r="O434" i="1"/>
  <c r="S434" i="1" s="1"/>
  <c r="U434" i="1" s="1"/>
  <c r="N434" i="1"/>
  <c r="M434" i="1"/>
  <c r="L434" i="1"/>
  <c r="R433" i="1"/>
  <c r="Q433" i="1"/>
  <c r="P433" i="1"/>
  <c r="O433" i="1"/>
  <c r="N433" i="1"/>
  <c r="L433" i="1"/>
  <c r="M433" i="1" s="1"/>
  <c r="Q432" i="1"/>
  <c r="P432" i="1"/>
  <c r="O432" i="1"/>
  <c r="N432" i="1"/>
  <c r="L432" i="1"/>
  <c r="R431" i="1"/>
  <c r="Q431" i="1"/>
  <c r="P431" i="1"/>
  <c r="O431" i="1"/>
  <c r="N431" i="1"/>
  <c r="M431" i="1"/>
  <c r="S431" i="1" s="1"/>
  <c r="U431" i="1" s="1"/>
  <c r="L431" i="1"/>
  <c r="Q430" i="1"/>
  <c r="P430" i="1"/>
  <c r="O430" i="1"/>
  <c r="N430" i="1"/>
  <c r="L430" i="1"/>
  <c r="Q429" i="1"/>
  <c r="P429" i="1"/>
  <c r="O429" i="1"/>
  <c r="N429" i="1"/>
  <c r="L429" i="1"/>
  <c r="R429" i="1" s="1"/>
  <c r="R428" i="1"/>
  <c r="Q428" i="1"/>
  <c r="P428" i="1"/>
  <c r="O428" i="1"/>
  <c r="N428" i="1"/>
  <c r="L428" i="1"/>
  <c r="M428" i="1" s="1"/>
  <c r="R427" i="1"/>
  <c r="Q427" i="1"/>
  <c r="P427" i="1"/>
  <c r="O427" i="1"/>
  <c r="N427" i="1"/>
  <c r="M427" i="1"/>
  <c r="L427" i="1"/>
  <c r="R426" i="1"/>
  <c r="Q426" i="1"/>
  <c r="P426" i="1"/>
  <c r="O426" i="1"/>
  <c r="N426" i="1"/>
  <c r="L426" i="1"/>
  <c r="M426" i="1" s="1"/>
  <c r="Q425" i="1"/>
  <c r="P425" i="1"/>
  <c r="O425" i="1"/>
  <c r="N425" i="1"/>
  <c r="L425" i="1"/>
  <c r="R425" i="1" s="1"/>
  <c r="R424" i="1"/>
  <c r="Q424" i="1"/>
  <c r="P424" i="1"/>
  <c r="O424" i="1"/>
  <c r="N424" i="1"/>
  <c r="L424" i="1"/>
  <c r="M424" i="1" s="1"/>
  <c r="R423" i="1"/>
  <c r="Q423" i="1"/>
  <c r="P423" i="1"/>
  <c r="O423" i="1"/>
  <c r="N423" i="1"/>
  <c r="M423" i="1"/>
  <c r="L423" i="1"/>
  <c r="Q422" i="1"/>
  <c r="P422" i="1"/>
  <c r="O422" i="1"/>
  <c r="N422" i="1"/>
  <c r="M422" i="1"/>
  <c r="L422" i="1"/>
  <c r="R422" i="1" s="1"/>
  <c r="R421" i="1"/>
  <c r="Q421" i="1"/>
  <c r="S421" i="1" s="1"/>
  <c r="U421" i="1" s="1"/>
  <c r="P421" i="1"/>
  <c r="O421" i="1"/>
  <c r="N421" i="1"/>
  <c r="M421" i="1"/>
  <c r="L421" i="1"/>
  <c r="Q420" i="1"/>
  <c r="P420" i="1"/>
  <c r="O420" i="1"/>
  <c r="N420" i="1"/>
  <c r="L420" i="1"/>
  <c r="R420" i="1" s="1"/>
  <c r="Q419" i="1"/>
  <c r="P419" i="1"/>
  <c r="O419" i="1"/>
  <c r="N419" i="1"/>
  <c r="L419" i="1"/>
  <c r="M419" i="1" s="1"/>
  <c r="Q418" i="1"/>
  <c r="P418" i="1"/>
  <c r="O418" i="1"/>
  <c r="N418" i="1"/>
  <c r="L418" i="1"/>
  <c r="R417" i="1"/>
  <c r="Q417" i="1"/>
  <c r="P417" i="1"/>
  <c r="O417" i="1"/>
  <c r="N417" i="1"/>
  <c r="L417" i="1"/>
  <c r="M417" i="1" s="1"/>
  <c r="S417" i="1" s="1"/>
  <c r="U417" i="1" s="1"/>
  <c r="Q416" i="1"/>
  <c r="P416" i="1"/>
  <c r="O416" i="1"/>
  <c r="N416" i="1"/>
  <c r="M416" i="1"/>
  <c r="L416" i="1"/>
  <c r="R416" i="1" s="1"/>
  <c r="R415" i="1"/>
  <c r="Q415" i="1"/>
  <c r="S415" i="1" s="1"/>
  <c r="U415" i="1" s="1"/>
  <c r="P415" i="1"/>
  <c r="O415" i="1"/>
  <c r="N415" i="1"/>
  <c r="M415" i="1"/>
  <c r="L415" i="1"/>
  <c r="Q414" i="1"/>
  <c r="P414" i="1"/>
  <c r="O414" i="1"/>
  <c r="N414" i="1"/>
  <c r="L414" i="1"/>
  <c r="R414" i="1" s="1"/>
  <c r="R413" i="1"/>
  <c r="Q413" i="1"/>
  <c r="P413" i="1"/>
  <c r="O413" i="1"/>
  <c r="N413" i="1"/>
  <c r="L413" i="1"/>
  <c r="M413" i="1" s="1"/>
  <c r="R412" i="1"/>
  <c r="Q412" i="1"/>
  <c r="P412" i="1"/>
  <c r="O412" i="1"/>
  <c r="N412" i="1"/>
  <c r="S412" i="1" s="1"/>
  <c r="U412" i="1" s="1"/>
  <c r="L412" i="1"/>
  <c r="M412" i="1" s="1"/>
  <c r="Q411" i="1"/>
  <c r="P411" i="1"/>
  <c r="O411" i="1"/>
  <c r="N411" i="1"/>
  <c r="L411" i="1"/>
  <c r="R410" i="1"/>
  <c r="Q410" i="1"/>
  <c r="P410" i="1"/>
  <c r="O410" i="1"/>
  <c r="N410" i="1"/>
  <c r="M410" i="1"/>
  <c r="L410" i="1"/>
  <c r="Q409" i="1"/>
  <c r="P409" i="1"/>
  <c r="O409" i="1"/>
  <c r="N409" i="1"/>
  <c r="L409" i="1"/>
  <c r="R408" i="1"/>
  <c r="Q408" i="1"/>
  <c r="P408" i="1"/>
  <c r="O408" i="1"/>
  <c r="N408" i="1"/>
  <c r="L408" i="1"/>
  <c r="M408" i="1" s="1"/>
  <c r="Q407" i="1"/>
  <c r="P407" i="1"/>
  <c r="O407" i="1"/>
  <c r="N407" i="1"/>
  <c r="L407" i="1"/>
  <c r="R407" i="1" s="1"/>
  <c r="R406" i="1"/>
  <c r="Q406" i="1"/>
  <c r="P406" i="1"/>
  <c r="O406" i="1"/>
  <c r="N406" i="1"/>
  <c r="M406" i="1"/>
  <c r="L406" i="1"/>
  <c r="Q405" i="1"/>
  <c r="P405" i="1"/>
  <c r="O405" i="1"/>
  <c r="N405" i="1"/>
  <c r="L405" i="1"/>
  <c r="Q404" i="1"/>
  <c r="P404" i="1"/>
  <c r="O404" i="1"/>
  <c r="N404" i="1"/>
  <c r="M404" i="1"/>
  <c r="L404" i="1"/>
  <c r="R404" i="1" s="1"/>
  <c r="R403" i="1"/>
  <c r="Q403" i="1"/>
  <c r="P403" i="1"/>
  <c r="O403" i="1"/>
  <c r="N403" i="1"/>
  <c r="L403" i="1"/>
  <c r="M403" i="1" s="1"/>
  <c r="R402" i="1"/>
  <c r="Q402" i="1"/>
  <c r="P402" i="1"/>
  <c r="O402" i="1"/>
  <c r="N402" i="1"/>
  <c r="L402" i="1"/>
  <c r="M402" i="1" s="1"/>
  <c r="Q401" i="1"/>
  <c r="P401" i="1"/>
  <c r="O401" i="1"/>
  <c r="N401" i="1"/>
  <c r="L401" i="1"/>
  <c r="R400" i="1"/>
  <c r="Q400" i="1"/>
  <c r="S400" i="1" s="1"/>
  <c r="U400" i="1" s="1"/>
  <c r="P400" i="1"/>
  <c r="O400" i="1"/>
  <c r="N400" i="1"/>
  <c r="L400" i="1"/>
  <c r="M400" i="1" s="1"/>
  <c r="Q399" i="1"/>
  <c r="P399" i="1"/>
  <c r="O399" i="1"/>
  <c r="N399" i="1"/>
  <c r="L399" i="1"/>
  <c r="R399" i="1" s="1"/>
  <c r="Q398" i="1"/>
  <c r="P398" i="1"/>
  <c r="O398" i="1"/>
  <c r="N398" i="1"/>
  <c r="L398" i="1"/>
  <c r="Q397" i="1"/>
  <c r="P397" i="1"/>
  <c r="O397" i="1"/>
  <c r="N397" i="1"/>
  <c r="L397" i="1"/>
  <c r="R396" i="1"/>
  <c r="Q396" i="1"/>
  <c r="P396" i="1"/>
  <c r="O396" i="1"/>
  <c r="N396" i="1"/>
  <c r="L396" i="1"/>
  <c r="M396" i="1" s="1"/>
  <c r="R395" i="1"/>
  <c r="Q395" i="1"/>
  <c r="P395" i="1"/>
  <c r="O395" i="1"/>
  <c r="N395" i="1"/>
  <c r="M395" i="1"/>
  <c r="S395" i="1" s="1"/>
  <c r="U395" i="1" s="1"/>
  <c r="L395" i="1"/>
  <c r="Q394" i="1"/>
  <c r="P394" i="1"/>
  <c r="O394" i="1"/>
  <c r="N394" i="1"/>
  <c r="L394" i="1"/>
  <c r="R393" i="1"/>
  <c r="Q393" i="1"/>
  <c r="P393" i="1"/>
  <c r="O393" i="1"/>
  <c r="N393" i="1"/>
  <c r="M393" i="1"/>
  <c r="L393" i="1"/>
  <c r="Q392" i="1"/>
  <c r="P392" i="1"/>
  <c r="O392" i="1"/>
  <c r="N392" i="1"/>
  <c r="L392" i="1"/>
  <c r="R392" i="1" s="1"/>
  <c r="Q391" i="1"/>
  <c r="P391" i="1"/>
  <c r="O391" i="1"/>
  <c r="N391" i="1"/>
  <c r="L391" i="1"/>
  <c r="R390" i="1"/>
  <c r="Q390" i="1"/>
  <c r="P390" i="1"/>
  <c r="O390" i="1"/>
  <c r="N390" i="1"/>
  <c r="L390" i="1"/>
  <c r="M390" i="1" s="1"/>
  <c r="Q389" i="1"/>
  <c r="P389" i="1"/>
  <c r="O389" i="1"/>
  <c r="N389" i="1"/>
  <c r="L389" i="1"/>
  <c r="Q388" i="1"/>
  <c r="P388" i="1"/>
  <c r="O388" i="1"/>
  <c r="N388" i="1"/>
  <c r="M388" i="1"/>
  <c r="L388" i="1"/>
  <c r="R388" i="1" s="1"/>
  <c r="Q387" i="1"/>
  <c r="P387" i="1"/>
  <c r="O387" i="1"/>
  <c r="N387" i="1"/>
  <c r="M387" i="1"/>
  <c r="L387" i="1"/>
  <c r="R387" i="1" s="1"/>
  <c r="Q386" i="1"/>
  <c r="S386" i="1" s="1"/>
  <c r="U386" i="1" s="1"/>
  <c r="P386" i="1"/>
  <c r="O386" i="1"/>
  <c r="N386" i="1"/>
  <c r="L386" i="1"/>
  <c r="M386" i="1" s="1"/>
  <c r="R385" i="1"/>
  <c r="Q385" i="1"/>
  <c r="P385" i="1"/>
  <c r="O385" i="1"/>
  <c r="N385" i="1"/>
  <c r="M385" i="1"/>
  <c r="L385" i="1"/>
  <c r="Q384" i="1"/>
  <c r="P384" i="1"/>
  <c r="O384" i="1"/>
  <c r="N384" i="1"/>
  <c r="L384" i="1"/>
  <c r="Q383" i="1"/>
  <c r="P383" i="1"/>
  <c r="O383" i="1"/>
  <c r="N383" i="1"/>
  <c r="L383" i="1"/>
  <c r="Q382" i="1"/>
  <c r="P382" i="1"/>
  <c r="O382" i="1"/>
  <c r="N382" i="1"/>
  <c r="L382" i="1"/>
  <c r="R382" i="1" s="1"/>
  <c r="R381" i="1"/>
  <c r="Q381" i="1"/>
  <c r="P381" i="1"/>
  <c r="O381" i="1"/>
  <c r="N381" i="1"/>
  <c r="L381" i="1"/>
  <c r="M381" i="1" s="1"/>
  <c r="R380" i="1"/>
  <c r="Q380" i="1"/>
  <c r="S380" i="1" s="1"/>
  <c r="U380" i="1" s="1"/>
  <c r="P380" i="1"/>
  <c r="O380" i="1"/>
  <c r="N380" i="1"/>
  <c r="L380" i="1"/>
  <c r="M380" i="1" s="1"/>
  <c r="Q379" i="1"/>
  <c r="P379" i="1"/>
  <c r="O379" i="1"/>
  <c r="N379" i="1"/>
  <c r="L379" i="1"/>
  <c r="R379" i="1" s="1"/>
  <c r="R378" i="1"/>
  <c r="Q378" i="1"/>
  <c r="P378" i="1"/>
  <c r="O378" i="1"/>
  <c r="N378" i="1"/>
  <c r="S378" i="1" s="1"/>
  <c r="U378" i="1" s="1"/>
  <c r="M378" i="1"/>
  <c r="L378" i="1"/>
  <c r="R377" i="1"/>
  <c r="Q377" i="1"/>
  <c r="P377" i="1"/>
  <c r="O377" i="1"/>
  <c r="N377" i="1"/>
  <c r="L377" i="1"/>
  <c r="M377" i="1" s="1"/>
  <c r="Q376" i="1"/>
  <c r="P376" i="1"/>
  <c r="O376" i="1"/>
  <c r="N376" i="1"/>
  <c r="L376" i="1"/>
  <c r="R375" i="1"/>
  <c r="Q375" i="1"/>
  <c r="P375" i="1"/>
  <c r="O375" i="1"/>
  <c r="N375" i="1"/>
  <c r="L375" i="1"/>
  <c r="M375" i="1" s="1"/>
  <c r="R374" i="1"/>
  <c r="Q374" i="1"/>
  <c r="P374" i="1"/>
  <c r="O374" i="1"/>
  <c r="N374" i="1"/>
  <c r="M374" i="1"/>
  <c r="L374" i="1"/>
  <c r="R373" i="1"/>
  <c r="Q373" i="1"/>
  <c r="P373" i="1"/>
  <c r="O373" i="1"/>
  <c r="N373" i="1"/>
  <c r="L373" i="1"/>
  <c r="M373" i="1" s="1"/>
  <c r="Q372" i="1"/>
  <c r="P372" i="1"/>
  <c r="O372" i="1"/>
  <c r="N372" i="1"/>
  <c r="L372" i="1"/>
  <c r="R371" i="1"/>
  <c r="Q371" i="1"/>
  <c r="P371" i="1"/>
  <c r="O371" i="1"/>
  <c r="N371" i="1"/>
  <c r="L371" i="1"/>
  <c r="M371" i="1" s="1"/>
  <c r="Q370" i="1"/>
  <c r="S370" i="1" s="1"/>
  <c r="U370" i="1" s="1"/>
  <c r="P370" i="1"/>
  <c r="O370" i="1"/>
  <c r="N370" i="1"/>
  <c r="L370" i="1"/>
  <c r="M370" i="1" s="1"/>
  <c r="Q369" i="1"/>
  <c r="P369" i="1"/>
  <c r="O369" i="1"/>
  <c r="N369" i="1"/>
  <c r="M369" i="1"/>
  <c r="L369" i="1"/>
  <c r="R369" i="1" s="1"/>
  <c r="Q368" i="1"/>
  <c r="P368" i="1"/>
  <c r="O368" i="1"/>
  <c r="N368" i="1"/>
  <c r="L368" i="1"/>
  <c r="R367" i="1"/>
  <c r="Q367" i="1"/>
  <c r="S367" i="1" s="1"/>
  <c r="U367" i="1" s="1"/>
  <c r="P367" i="1"/>
  <c r="O367" i="1"/>
  <c r="N367" i="1"/>
  <c r="L367" i="1"/>
  <c r="M367" i="1" s="1"/>
  <c r="Q366" i="1"/>
  <c r="P366" i="1"/>
  <c r="O366" i="1"/>
  <c r="N366" i="1"/>
  <c r="L366" i="1"/>
  <c r="R366" i="1" s="1"/>
  <c r="S365" i="1"/>
  <c r="U365" i="1" s="1"/>
  <c r="R365" i="1"/>
  <c r="Q365" i="1"/>
  <c r="P365" i="1"/>
  <c r="O365" i="1"/>
  <c r="N365" i="1"/>
  <c r="L365" i="1"/>
  <c r="M365" i="1" s="1"/>
  <c r="R364" i="1"/>
  <c r="Q364" i="1"/>
  <c r="P364" i="1"/>
  <c r="O364" i="1"/>
  <c r="N364" i="1"/>
  <c r="L364" i="1"/>
  <c r="M364" i="1" s="1"/>
  <c r="S364" i="1" s="1"/>
  <c r="U364" i="1" s="1"/>
  <c r="Q363" i="1"/>
  <c r="P363" i="1"/>
  <c r="O363" i="1"/>
  <c r="N363" i="1"/>
  <c r="L363" i="1"/>
  <c r="R362" i="1"/>
  <c r="Q362" i="1"/>
  <c r="S362" i="1" s="1"/>
  <c r="U362" i="1" s="1"/>
  <c r="P362" i="1"/>
  <c r="O362" i="1"/>
  <c r="N362" i="1"/>
  <c r="L362" i="1"/>
  <c r="M362" i="1" s="1"/>
  <c r="Q361" i="1"/>
  <c r="P361" i="1"/>
  <c r="O361" i="1"/>
  <c r="N361" i="1"/>
  <c r="L361" i="1"/>
  <c r="S360" i="1"/>
  <c r="U360" i="1" s="1"/>
  <c r="R360" i="1"/>
  <c r="Q360" i="1"/>
  <c r="P360" i="1"/>
  <c r="O360" i="1"/>
  <c r="N360" i="1"/>
  <c r="L360" i="1"/>
  <c r="M360" i="1" s="1"/>
  <c r="Q359" i="1"/>
  <c r="P359" i="1"/>
  <c r="O359" i="1"/>
  <c r="N359" i="1"/>
  <c r="L359" i="1"/>
  <c r="R358" i="1"/>
  <c r="Q358" i="1"/>
  <c r="P358" i="1"/>
  <c r="O358" i="1"/>
  <c r="N358" i="1"/>
  <c r="L358" i="1"/>
  <c r="M358" i="1" s="1"/>
  <c r="R357" i="1"/>
  <c r="Q357" i="1"/>
  <c r="P357" i="1"/>
  <c r="O357" i="1"/>
  <c r="N357" i="1"/>
  <c r="L357" i="1"/>
  <c r="M357" i="1" s="1"/>
  <c r="R356" i="1"/>
  <c r="Q356" i="1"/>
  <c r="P356" i="1"/>
  <c r="O356" i="1"/>
  <c r="N356" i="1"/>
  <c r="L356" i="1"/>
  <c r="M356" i="1" s="1"/>
  <c r="R355" i="1"/>
  <c r="Q355" i="1"/>
  <c r="P355" i="1"/>
  <c r="O355" i="1"/>
  <c r="N355" i="1"/>
  <c r="M355" i="1"/>
  <c r="L355" i="1"/>
  <c r="R354" i="1"/>
  <c r="Q354" i="1"/>
  <c r="P354" i="1"/>
  <c r="O354" i="1"/>
  <c r="N354" i="1"/>
  <c r="L354" i="1"/>
  <c r="M354" i="1" s="1"/>
  <c r="Q353" i="1"/>
  <c r="P353" i="1"/>
  <c r="O353" i="1"/>
  <c r="N353" i="1"/>
  <c r="L353" i="1"/>
  <c r="R352" i="1"/>
  <c r="Q352" i="1"/>
  <c r="S352" i="1" s="1"/>
  <c r="U352" i="1" s="1"/>
  <c r="P352" i="1"/>
  <c r="O352" i="1"/>
  <c r="N352" i="1"/>
  <c r="L352" i="1"/>
  <c r="M352" i="1" s="1"/>
  <c r="Q351" i="1"/>
  <c r="P351" i="1"/>
  <c r="O351" i="1"/>
  <c r="N351" i="1"/>
  <c r="L351" i="1"/>
  <c r="R351" i="1" s="1"/>
  <c r="Q350" i="1"/>
  <c r="S350" i="1" s="1"/>
  <c r="U350" i="1" s="1"/>
  <c r="P350" i="1"/>
  <c r="O350" i="1"/>
  <c r="N350" i="1"/>
  <c r="M350" i="1"/>
  <c r="L350" i="1"/>
  <c r="R350" i="1" s="1"/>
  <c r="Q349" i="1"/>
  <c r="P349" i="1"/>
  <c r="O349" i="1"/>
  <c r="N349" i="1"/>
  <c r="L349" i="1"/>
  <c r="Q348" i="1"/>
  <c r="P348" i="1"/>
  <c r="O348" i="1"/>
  <c r="N348" i="1"/>
  <c r="M348" i="1"/>
  <c r="L348" i="1"/>
  <c r="R348" i="1" s="1"/>
  <c r="Q347" i="1"/>
  <c r="P347" i="1"/>
  <c r="O347" i="1"/>
  <c r="N347" i="1"/>
  <c r="L347" i="1"/>
  <c r="Q346" i="1"/>
  <c r="P346" i="1"/>
  <c r="O346" i="1"/>
  <c r="N346" i="1"/>
  <c r="M346" i="1"/>
  <c r="L346" i="1"/>
  <c r="R346" i="1" s="1"/>
  <c r="Q345" i="1"/>
  <c r="P345" i="1"/>
  <c r="O345" i="1"/>
  <c r="N345" i="1"/>
  <c r="M345" i="1"/>
  <c r="S345" i="1" s="1"/>
  <c r="U345" i="1" s="1"/>
  <c r="L345" i="1"/>
  <c r="R345" i="1" s="1"/>
  <c r="R344" i="1"/>
  <c r="Q344" i="1"/>
  <c r="P344" i="1"/>
  <c r="O344" i="1"/>
  <c r="N344" i="1"/>
  <c r="L344" i="1"/>
  <c r="M344" i="1" s="1"/>
  <c r="Q343" i="1"/>
  <c r="P343" i="1"/>
  <c r="O343" i="1"/>
  <c r="N343" i="1"/>
  <c r="M343" i="1"/>
  <c r="L343" i="1"/>
  <c r="R343" i="1" s="1"/>
  <c r="Q342" i="1"/>
  <c r="S342" i="1" s="1"/>
  <c r="U342" i="1" s="1"/>
  <c r="P342" i="1"/>
  <c r="O342" i="1"/>
  <c r="N342" i="1"/>
  <c r="L342" i="1"/>
  <c r="M342" i="1" s="1"/>
  <c r="Q341" i="1"/>
  <c r="P341" i="1"/>
  <c r="O341" i="1"/>
  <c r="N341" i="1"/>
  <c r="M341" i="1"/>
  <c r="S341" i="1" s="1"/>
  <c r="U341" i="1" s="1"/>
  <c r="L341" i="1"/>
  <c r="R341" i="1" s="1"/>
  <c r="Q340" i="1"/>
  <c r="P340" i="1"/>
  <c r="O340" i="1"/>
  <c r="N340" i="1"/>
  <c r="M340" i="1"/>
  <c r="S340" i="1" s="1"/>
  <c r="U340" i="1" s="1"/>
  <c r="L340" i="1"/>
  <c r="R340" i="1" s="1"/>
  <c r="Q339" i="1"/>
  <c r="S339" i="1" s="1"/>
  <c r="U339" i="1" s="1"/>
  <c r="P339" i="1"/>
  <c r="O339" i="1"/>
  <c r="N339" i="1"/>
  <c r="L339" i="1"/>
  <c r="M339" i="1" s="1"/>
  <c r="S338" i="1"/>
  <c r="U338" i="1" s="1"/>
  <c r="R338" i="1"/>
  <c r="Q338" i="1"/>
  <c r="P338" i="1"/>
  <c r="O338" i="1"/>
  <c r="N338" i="1"/>
  <c r="M338" i="1"/>
  <c r="L338" i="1"/>
  <c r="Q337" i="1"/>
  <c r="P337" i="1"/>
  <c r="O337" i="1"/>
  <c r="N337" i="1"/>
  <c r="L337" i="1"/>
  <c r="R337" i="1" s="1"/>
  <c r="R336" i="1"/>
  <c r="Q336" i="1"/>
  <c r="S336" i="1" s="1"/>
  <c r="U336" i="1" s="1"/>
  <c r="P336" i="1"/>
  <c r="O336" i="1"/>
  <c r="N336" i="1"/>
  <c r="M336" i="1"/>
  <c r="L336" i="1"/>
  <c r="R335" i="1"/>
  <c r="Q335" i="1"/>
  <c r="S335" i="1" s="1"/>
  <c r="U335" i="1" s="1"/>
  <c r="P335" i="1"/>
  <c r="O335" i="1"/>
  <c r="N335" i="1"/>
  <c r="L335" i="1"/>
  <c r="M335" i="1" s="1"/>
  <c r="Q334" i="1"/>
  <c r="P334" i="1"/>
  <c r="O334" i="1"/>
  <c r="N334" i="1"/>
  <c r="L334" i="1"/>
  <c r="R334" i="1" s="1"/>
  <c r="R333" i="1"/>
  <c r="Q333" i="1"/>
  <c r="P333" i="1"/>
  <c r="O333" i="1"/>
  <c r="N333" i="1"/>
  <c r="M333" i="1"/>
  <c r="L333" i="1"/>
  <c r="Q332" i="1"/>
  <c r="P332" i="1"/>
  <c r="O332" i="1"/>
  <c r="N332" i="1"/>
  <c r="L332" i="1"/>
  <c r="R332" i="1" s="1"/>
  <c r="Q331" i="1"/>
  <c r="P331" i="1"/>
  <c r="O331" i="1"/>
  <c r="N331" i="1"/>
  <c r="L331" i="1"/>
  <c r="R331" i="1" s="1"/>
  <c r="R330" i="1"/>
  <c r="Q330" i="1"/>
  <c r="P330" i="1"/>
  <c r="O330" i="1"/>
  <c r="N330" i="1"/>
  <c r="L330" i="1"/>
  <c r="M330" i="1" s="1"/>
  <c r="Q329" i="1"/>
  <c r="P329" i="1"/>
  <c r="O329" i="1"/>
  <c r="N329" i="1"/>
  <c r="L329" i="1"/>
  <c r="R329" i="1" s="1"/>
  <c r="R328" i="1"/>
  <c r="Q328" i="1"/>
  <c r="P328" i="1"/>
  <c r="O328" i="1"/>
  <c r="N328" i="1"/>
  <c r="L328" i="1"/>
  <c r="M328" i="1" s="1"/>
  <c r="R327" i="1"/>
  <c r="Q327" i="1"/>
  <c r="S327" i="1" s="1"/>
  <c r="U327" i="1" s="1"/>
  <c r="P327" i="1"/>
  <c r="O327" i="1"/>
  <c r="N327" i="1"/>
  <c r="M327" i="1"/>
  <c r="L327" i="1"/>
  <c r="Q326" i="1"/>
  <c r="P326" i="1"/>
  <c r="O326" i="1"/>
  <c r="N326" i="1"/>
  <c r="L326" i="1"/>
  <c r="R325" i="1"/>
  <c r="Q325" i="1"/>
  <c r="P325" i="1"/>
  <c r="O325" i="1"/>
  <c r="N325" i="1"/>
  <c r="L325" i="1"/>
  <c r="M325" i="1" s="1"/>
  <c r="R324" i="1"/>
  <c r="Q324" i="1"/>
  <c r="S324" i="1" s="1"/>
  <c r="U324" i="1" s="1"/>
  <c r="P324" i="1"/>
  <c r="O324" i="1"/>
  <c r="N324" i="1"/>
  <c r="M324" i="1"/>
  <c r="L324" i="1"/>
  <c r="Q323" i="1"/>
  <c r="P323" i="1"/>
  <c r="O323" i="1"/>
  <c r="N323" i="1"/>
  <c r="L323" i="1"/>
  <c r="R323" i="1" s="1"/>
  <c r="S322" i="1"/>
  <c r="U322" i="1" s="1"/>
  <c r="R322" i="1"/>
  <c r="Q322" i="1"/>
  <c r="P322" i="1"/>
  <c r="O322" i="1"/>
  <c r="N322" i="1"/>
  <c r="L322" i="1"/>
  <c r="M322" i="1" s="1"/>
  <c r="R321" i="1"/>
  <c r="Q321" i="1"/>
  <c r="S321" i="1" s="1"/>
  <c r="U321" i="1" s="1"/>
  <c r="P321" i="1"/>
  <c r="O321" i="1"/>
  <c r="N321" i="1"/>
  <c r="L321" i="1"/>
  <c r="M321" i="1" s="1"/>
  <c r="R320" i="1"/>
  <c r="Q320" i="1"/>
  <c r="P320" i="1"/>
  <c r="O320" i="1"/>
  <c r="N320" i="1"/>
  <c r="L320" i="1"/>
  <c r="M320" i="1" s="1"/>
  <c r="S320" i="1" s="1"/>
  <c r="U320" i="1" s="1"/>
  <c r="Q319" i="1"/>
  <c r="P319" i="1"/>
  <c r="O319" i="1"/>
  <c r="N319" i="1"/>
  <c r="L319" i="1"/>
  <c r="M319" i="1" s="1"/>
  <c r="Q318" i="1"/>
  <c r="P318" i="1"/>
  <c r="O318" i="1"/>
  <c r="N318" i="1"/>
  <c r="L318" i="1"/>
  <c r="R318" i="1" s="1"/>
  <c r="R317" i="1"/>
  <c r="Q317" i="1"/>
  <c r="P317" i="1"/>
  <c r="O317" i="1"/>
  <c r="N317" i="1"/>
  <c r="M317" i="1"/>
  <c r="S317" i="1" s="1"/>
  <c r="U317" i="1" s="1"/>
  <c r="L317" i="1"/>
  <c r="Q316" i="1"/>
  <c r="P316" i="1"/>
  <c r="O316" i="1"/>
  <c r="N316" i="1"/>
  <c r="L316" i="1"/>
  <c r="R316" i="1" s="1"/>
  <c r="R315" i="1"/>
  <c r="Q315" i="1"/>
  <c r="P315" i="1"/>
  <c r="O315" i="1"/>
  <c r="N315" i="1"/>
  <c r="M315" i="1"/>
  <c r="L315" i="1"/>
  <c r="R314" i="1"/>
  <c r="Q314" i="1"/>
  <c r="P314" i="1"/>
  <c r="O314" i="1"/>
  <c r="N314" i="1"/>
  <c r="L314" i="1"/>
  <c r="M314" i="1" s="1"/>
  <c r="R313" i="1"/>
  <c r="Q313" i="1"/>
  <c r="P313" i="1"/>
  <c r="O313" i="1"/>
  <c r="N313" i="1"/>
  <c r="M313" i="1"/>
  <c r="L313" i="1"/>
  <c r="R312" i="1"/>
  <c r="Q312" i="1"/>
  <c r="P312" i="1"/>
  <c r="O312" i="1"/>
  <c r="N312" i="1"/>
  <c r="M312" i="1"/>
  <c r="L312" i="1"/>
  <c r="Q311" i="1"/>
  <c r="P311" i="1"/>
  <c r="O311" i="1"/>
  <c r="N311" i="1"/>
  <c r="L311" i="1"/>
  <c r="R310" i="1"/>
  <c r="Q310" i="1"/>
  <c r="S310" i="1" s="1"/>
  <c r="U310" i="1" s="1"/>
  <c r="P310" i="1"/>
  <c r="O310" i="1"/>
  <c r="N310" i="1"/>
  <c r="M310" i="1"/>
  <c r="L310" i="1"/>
  <c r="Q309" i="1"/>
  <c r="P309" i="1"/>
  <c r="O309" i="1"/>
  <c r="N309" i="1"/>
  <c r="L309" i="1"/>
  <c r="Q308" i="1"/>
  <c r="P308" i="1"/>
  <c r="O308" i="1"/>
  <c r="N308" i="1"/>
  <c r="L308" i="1"/>
  <c r="R308" i="1" s="1"/>
  <c r="Q307" i="1"/>
  <c r="P307" i="1"/>
  <c r="O307" i="1"/>
  <c r="N307" i="1"/>
  <c r="L307" i="1"/>
  <c r="Q306" i="1"/>
  <c r="P306" i="1"/>
  <c r="O306" i="1"/>
  <c r="N306" i="1"/>
  <c r="L306" i="1"/>
  <c r="R306" i="1" s="1"/>
  <c r="R305" i="1"/>
  <c r="Q305" i="1"/>
  <c r="P305" i="1"/>
  <c r="O305" i="1"/>
  <c r="N305" i="1"/>
  <c r="L305" i="1"/>
  <c r="M305" i="1" s="1"/>
  <c r="S305" i="1" s="1"/>
  <c r="U305" i="1" s="1"/>
  <c r="R304" i="1"/>
  <c r="Q304" i="1"/>
  <c r="S304" i="1" s="1"/>
  <c r="U304" i="1" s="1"/>
  <c r="P304" i="1"/>
  <c r="O304" i="1"/>
  <c r="N304" i="1"/>
  <c r="M304" i="1"/>
  <c r="L304" i="1"/>
  <c r="Q303" i="1"/>
  <c r="P303" i="1"/>
  <c r="O303" i="1"/>
  <c r="N303" i="1"/>
  <c r="M303" i="1"/>
  <c r="S303" i="1" s="1"/>
  <c r="U303" i="1" s="1"/>
  <c r="L303" i="1"/>
  <c r="R303" i="1" s="1"/>
  <c r="R302" i="1"/>
  <c r="Q302" i="1"/>
  <c r="P302" i="1"/>
  <c r="O302" i="1"/>
  <c r="N302" i="1"/>
  <c r="L302" i="1"/>
  <c r="M302" i="1" s="1"/>
  <c r="R301" i="1"/>
  <c r="Q301" i="1"/>
  <c r="S301" i="1" s="1"/>
  <c r="U301" i="1" s="1"/>
  <c r="P301" i="1"/>
  <c r="O301" i="1"/>
  <c r="N301" i="1"/>
  <c r="M301" i="1"/>
  <c r="L301" i="1"/>
  <c r="Q300" i="1"/>
  <c r="P300" i="1"/>
  <c r="O300" i="1"/>
  <c r="N300" i="1"/>
  <c r="L300" i="1"/>
  <c r="Q299" i="1"/>
  <c r="P299" i="1"/>
  <c r="O299" i="1"/>
  <c r="N299" i="1"/>
  <c r="L299" i="1"/>
  <c r="R299" i="1" s="1"/>
  <c r="Q298" i="1"/>
  <c r="P298" i="1"/>
  <c r="O298" i="1"/>
  <c r="N298" i="1"/>
  <c r="L298" i="1"/>
  <c r="R298" i="1" s="1"/>
  <c r="Q297" i="1"/>
  <c r="P297" i="1"/>
  <c r="O297" i="1"/>
  <c r="N297" i="1"/>
  <c r="L297" i="1"/>
  <c r="R297" i="1" s="1"/>
  <c r="R296" i="1"/>
  <c r="Q296" i="1"/>
  <c r="P296" i="1"/>
  <c r="O296" i="1"/>
  <c r="N296" i="1"/>
  <c r="L296" i="1"/>
  <c r="M296" i="1" s="1"/>
  <c r="S296" i="1" s="1"/>
  <c r="U296" i="1" s="1"/>
  <c r="Q295" i="1"/>
  <c r="P295" i="1"/>
  <c r="O295" i="1"/>
  <c r="N295" i="1"/>
  <c r="L295" i="1"/>
  <c r="R295" i="1" s="1"/>
  <c r="R294" i="1"/>
  <c r="Q294" i="1"/>
  <c r="S294" i="1" s="1"/>
  <c r="U294" i="1" s="1"/>
  <c r="P294" i="1"/>
  <c r="O294" i="1"/>
  <c r="N294" i="1"/>
  <c r="M294" i="1"/>
  <c r="L294" i="1"/>
  <c r="R293" i="1"/>
  <c r="Q293" i="1"/>
  <c r="S293" i="1" s="1"/>
  <c r="U293" i="1" s="1"/>
  <c r="P293" i="1"/>
  <c r="O293" i="1"/>
  <c r="N293" i="1"/>
  <c r="L293" i="1"/>
  <c r="M293" i="1" s="1"/>
  <c r="Q292" i="1"/>
  <c r="P292" i="1"/>
  <c r="O292" i="1"/>
  <c r="N292" i="1"/>
  <c r="L292" i="1"/>
  <c r="R292" i="1" s="1"/>
  <c r="Q291" i="1"/>
  <c r="P291" i="1"/>
  <c r="O291" i="1"/>
  <c r="N291" i="1"/>
  <c r="L291" i="1"/>
  <c r="R291" i="1" s="1"/>
  <c r="R290" i="1"/>
  <c r="Q290" i="1"/>
  <c r="P290" i="1"/>
  <c r="O290" i="1"/>
  <c r="S290" i="1" s="1"/>
  <c r="U290" i="1" s="1"/>
  <c r="N290" i="1"/>
  <c r="M290" i="1"/>
  <c r="L290" i="1"/>
  <c r="R289" i="1"/>
  <c r="Q289" i="1"/>
  <c r="S289" i="1" s="1"/>
  <c r="U289" i="1" s="1"/>
  <c r="P289" i="1"/>
  <c r="O289" i="1"/>
  <c r="N289" i="1"/>
  <c r="M289" i="1"/>
  <c r="L289" i="1"/>
  <c r="Q288" i="1"/>
  <c r="P288" i="1"/>
  <c r="O288" i="1"/>
  <c r="N288" i="1"/>
  <c r="L288" i="1"/>
  <c r="R288" i="1" s="1"/>
  <c r="R287" i="1"/>
  <c r="Q287" i="1"/>
  <c r="S287" i="1" s="1"/>
  <c r="U287" i="1" s="1"/>
  <c r="P287" i="1"/>
  <c r="O287" i="1"/>
  <c r="N287" i="1"/>
  <c r="M287" i="1"/>
  <c r="L287" i="1"/>
  <c r="R286" i="1"/>
  <c r="Q286" i="1"/>
  <c r="S286" i="1" s="1"/>
  <c r="U286" i="1" s="1"/>
  <c r="P286" i="1"/>
  <c r="O286" i="1"/>
  <c r="N286" i="1"/>
  <c r="L286" i="1"/>
  <c r="M286" i="1" s="1"/>
  <c r="Q285" i="1"/>
  <c r="P285" i="1"/>
  <c r="O285" i="1"/>
  <c r="N285" i="1"/>
  <c r="L285" i="1"/>
  <c r="Q284" i="1"/>
  <c r="P284" i="1"/>
  <c r="O284" i="1"/>
  <c r="N284" i="1"/>
  <c r="L284" i="1"/>
  <c r="R284" i="1" s="1"/>
  <c r="R283" i="1"/>
  <c r="Q283" i="1"/>
  <c r="P283" i="1"/>
  <c r="O283" i="1"/>
  <c r="N283" i="1"/>
  <c r="M283" i="1"/>
  <c r="L283" i="1"/>
  <c r="Q282" i="1"/>
  <c r="P282" i="1"/>
  <c r="O282" i="1"/>
  <c r="N282" i="1"/>
  <c r="L282" i="1"/>
  <c r="Q281" i="1"/>
  <c r="P281" i="1"/>
  <c r="O281" i="1"/>
  <c r="N281" i="1"/>
  <c r="L281" i="1"/>
  <c r="R281" i="1" s="1"/>
  <c r="R280" i="1"/>
  <c r="Q280" i="1"/>
  <c r="P280" i="1"/>
  <c r="O280" i="1"/>
  <c r="N280" i="1"/>
  <c r="M280" i="1"/>
  <c r="S280" i="1" s="1"/>
  <c r="U280" i="1" s="1"/>
  <c r="L280" i="1"/>
  <c r="R279" i="1"/>
  <c r="Q279" i="1"/>
  <c r="P279" i="1"/>
  <c r="O279" i="1"/>
  <c r="N279" i="1"/>
  <c r="L279" i="1"/>
  <c r="M279" i="1" s="1"/>
  <c r="S279" i="1" s="1"/>
  <c r="U279" i="1" s="1"/>
  <c r="Q278" i="1"/>
  <c r="P278" i="1"/>
  <c r="O278" i="1"/>
  <c r="N278" i="1"/>
  <c r="L278" i="1"/>
  <c r="R278" i="1" s="1"/>
  <c r="R277" i="1"/>
  <c r="Q277" i="1"/>
  <c r="P277" i="1"/>
  <c r="O277" i="1"/>
  <c r="N277" i="1"/>
  <c r="M277" i="1"/>
  <c r="L277" i="1"/>
  <c r="Q276" i="1"/>
  <c r="P276" i="1"/>
  <c r="O276" i="1"/>
  <c r="N276" i="1"/>
  <c r="L276" i="1"/>
  <c r="M276" i="1" s="1"/>
  <c r="Q275" i="1"/>
  <c r="P275" i="1"/>
  <c r="O275" i="1"/>
  <c r="N275" i="1"/>
  <c r="L275" i="1"/>
  <c r="Q274" i="1"/>
  <c r="P274" i="1"/>
  <c r="O274" i="1"/>
  <c r="N274" i="1"/>
  <c r="L274" i="1"/>
  <c r="R273" i="1"/>
  <c r="Q273" i="1"/>
  <c r="P273" i="1"/>
  <c r="O273" i="1"/>
  <c r="N273" i="1"/>
  <c r="M273" i="1"/>
  <c r="L273" i="1"/>
  <c r="Q272" i="1"/>
  <c r="P272" i="1"/>
  <c r="O272" i="1"/>
  <c r="N272" i="1"/>
  <c r="L272" i="1"/>
  <c r="R272" i="1" s="1"/>
  <c r="Q271" i="1"/>
  <c r="P271" i="1"/>
  <c r="O271" i="1"/>
  <c r="N271" i="1"/>
  <c r="L271" i="1"/>
  <c r="R270" i="1"/>
  <c r="Q270" i="1"/>
  <c r="P270" i="1"/>
  <c r="O270" i="1"/>
  <c r="N270" i="1"/>
  <c r="M270" i="1"/>
  <c r="S270" i="1" s="1"/>
  <c r="U270" i="1" s="1"/>
  <c r="L270" i="1"/>
  <c r="Q269" i="1"/>
  <c r="P269" i="1"/>
  <c r="O269" i="1"/>
  <c r="N269" i="1"/>
  <c r="L269" i="1"/>
  <c r="R269" i="1" s="1"/>
  <c r="R268" i="1"/>
  <c r="Q268" i="1"/>
  <c r="P268" i="1"/>
  <c r="O268" i="1"/>
  <c r="N268" i="1"/>
  <c r="L268" i="1"/>
  <c r="M268" i="1" s="1"/>
  <c r="S268" i="1" s="1"/>
  <c r="U268" i="1" s="1"/>
  <c r="Q267" i="1"/>
  <c r="P267" i="1"/>
  <c r="O267" i="1"/>
  <c r="N267" i="1"/>
  <c r="L267" i="1"/>
  <c r="R267" i="1" s="1"/>
  <c r="R266" i="1"/>
  <c r="Q266" i="1"/>
  <c r="P266" i="1"/>
  <c r="O266" i="1"/>
  <c r="N266" i="1"/>
  <c r="M266" i="1"/>
  <c r="L266" i="1"/>
  <c r="R265" i="1"/>
  <c r="Q265" i="1"/>
  <c r="S265" i="1" s="1"/>
  <c r="U265" i="1" s="1"/>
  <c r="P265" i="1"/>
  <c r="O265" i="1"/>
  <c r="N265" i="1"/>
  <c r="M265" i="1"/>
  <c r="L265" i="1"/>
  <c r="Q264" i="1"/>
  <c r="P264" i="1"/>
  <c r="O264" i="1"/>
  <c r="N264" i="1"/>
  <c r="M264" i="1"/>
  <c r="L264" i="1"/>
  <c r="R264" i="1" s="1"/>
  <c r="R263" i="1"/>
  <c r="Q263" i="1"/>
  <c r="S263" i="1" s="1"/>
  <c r="U263" i="1" s="1"/>
  <c r="P263" i="1"/>
  <c r="O263" i="1"/>
  <c r="N263" i="1"/>
  <c r="M263" i="1"/>
  <c r="L263" i="1"/>
  <c r="Q262" i="1"/>
  <c r="P262" i="1"/>
  <c r="O262" i="1"/>
  <c r="N262" i="1"/>
  <c r="M262" i="1"/>
  <c r="L262" i="1"/>
  <c r="R262" i="1" s="1"/>
  <c r="R261" i="1"/>
  <c r="Q261" i="1"/>
  <c r="S261" i="1" s="1"/>
  <c r="U261" i="1" s="1"/>
  <c r="P261" i="1"/>
  <c r="O261" i="1"/>
  <c r="N261" i="1"/>
  <c r="L261" i="1"/>
  <c r="M261" i="1" s="1"/>
  <c r="Q260" i="1"/>
  <c r="P260" i="1"/>
  <c r="O260" i="1"/>
  <c r="N260" i="1"/>
  <c r="L260" i="1"/>
  <c r="R260" i="1" s="1"/>
  <c r="R259" i="1"/>
  <c r="Q259" i="1"/>
  <c r="P259" i="1"/>
  <c r="O259" i="1"/>
  <c r="N259" i="1"/>
  <c r="M259" i="1"/>
  <c r="S259" i="1" s="1"/>
  <c r="U259" i="1" s="1"/>
  <c r="L259" i="1"/>
  <c r="R258" i="1"/>
  <c r="Q258" i="1"/>
  <c r="P258" i="1"/>
  <c r="O258" i="1"/>
  <c r="N258" i="1"/>
  <c r="S258" i="1" s="1"/>
  <c r="U258" i="1" s="1"/>
  <c r="M258" i="1"/>
  <c r="L258" i="1"/>
  <c r="Q257" i="1"/>
  <c r="P257" i="1"/>
  <c r="O257" i="1"/>
  <c r="N257" i="1"/>
  <c r="L257" i="1"/>
  <c r="R257" i="1" s="1"/>
  <c r="R256" i="1"/>
  <c r="Q256" i="1"/>
  <c r="S256" i="1" s="1"/>
  <c r="U256" i="1" s="1"/>
  <c r="P256" i="1"/>
  <c r="O256" i="1"/>
  <c r="N256" i="1"/>
  <c r="L256" i="1"/>
  <c r="M256" i="1" s="1"/>
  <c r="Q255" i="1"/>
  <c r="P255" i="1"/>
  <c r="O255" i="1"/>
  <c r="N255" i="1"/>
  <c r="L255" i="1"/>
  <c r="R255" i="1" s="1"/>
  <c r="R254" i="1"/>
  <c r="Q254" i="1"/>
  <c r="P254" i="1"/>
  <c r="O254" i="1"/>
  <c r="N254" i="1"/>
  <c r="M254" i="1"/>
  <c r="L254" i="1"/>
  <c r="R253" i="1"/>
  <c r="Q253" i="1"/>
  <c r="P253" i="1"/>
  <c r="O253" i="1"/>
  <c r="N253" i="1"/>
  <c r="M253" i="1"/>
  <c r="L253" i="1"/>
  <c r="R252" i="1"/>
  <c r="Q252" i="1"/>
  <c r="P252" i="1"/>
  <c r="O252" i="1"/>
  <c r="N252" i="1"/>
  <c r="M252" i="1"/>
  <c r="L252" i="1"/>
  <c r="R251" i="1"/>
  <c r="Q251" i="1"/>
  <c r="S251" i="1" s="1"/>
  <c r="U251" i="1" s="1"/>
  <c r="P251" i="1"/>
  <c r="O251" i="1"/>
  <c r="N251" i="1"/>
  <c r="L251" i="1"/>
  <c r="M251" i="1" s="1"/>
  <c r="Q250" i="1"/>
  <c r="P250" i="1"/>
  <c r="O250" i="1"/>
  <c r="N250" i="1"/>
  <c r="L250" i="1"/>
  <c r="R250" i="1" s="1"/>
  <c r="Q249" i="1"/>
  <c r="P249" i="1"/>
  <c r="O249" i="1"/>
  <c r="N249" i="1"/>
  <c r="L249" i="1"/>
  <c r="R249" i="1" s="1"/>
  <c r="Q248" i="1"/>
  <c r="P248" i="1"/>
  <c r="O248" i="1"/>
  <c r="N248" i="1"/>
  <c r="L248" i="1"/>
  <c r="R248" i="1" s="1"/>
  <c r="R247" i="1"/>
  <c r="Q247" i="1"/>
  <c r="P247" i="1"/>
  <c r="O247" i="1"/>
  <c r="N247" i="1"/>
  <c r="M247" i="1"/>
  <c r="L247" i="1"/>
  <c r="R246" i="1"/>
  <c r="Q246" i="1"/>
  <c r="P246" i="1"/>
  <c r="O246" i="1"/>
  <c r="N246" i="1"/>
  <c r="L246" i="1"/>
  <c r="M246" i="1" s="1"/>
  <c r="R245" i="1"/>
  <c r="Q245" i="1"/>
  <c r="P245" i="1"/>
  <c r="O245" i="1"/>
  <c r="N245" i="1"/>
  <c r="M245" i="1"/>
  <c r="L245" i="1"/>
  <c r="S244" i="1"/>
  <c r="U244" i="1" s="1"/>
  <c r="R244" i="1"/>
  <c r="Q244" i="1"/>
  <c r="P244" i="1"/>
  <c r="O244" i="1"/>
  <c r="N244" i="1"/>
  <c r="M244" i="1"/>
  <c r="L244" i="1"/>
  <c r="Q243" i="1"/>
  <c r="P243" i="1"/>
  <c r="O243" i="1"/>
  <c r="N243" i="1"/>
  <c r="M243" i="1"/>
  <c r="L243" i="1"/>
  <c r="R243" i="1" s="1"/>
  <c r="R242" i="1"/>
  <c r="Q242" i="1"/>
  <c r="P242" i="1"/>
  <c r="O242" i="1"/>
  <c r="N242" i="1"/>
  <c r="L242" i="1"/>
  <c r="M242" i="1" s="1"/>
  <c r="S242" i="1" s="1"/>
  <c r="U242" i="1" s="1"/>
  <c r="R241" i="1"/>
  <c r="Q241" i="1"/>
  <c r="S241" i="1" s="1"/>
  <c r="U241" i="1" s="1"/>
  <c r="P241" i="1"/>
  <c r="O241" i="1"/>
  <c r="N241" i="1"/>
  <c r="M241" i="1"/>
  <c r="L241" i="1"/>
  <c r="Q240" i="1"/>
  <c r="P240" i="1"/>
  <c r="O240" i="1"/>
  <c r="N240" i="1"/>
  <c r="L240" i="1"/>
  <c r="Q239" i="1"/>
  <c r="P239" i="1"/>
  <c r="O239" i="1"/>
  <c r="N239" i="1"/>
  <c r="L239" i="1"/>
  <c r="R239" i="1" s="1"/>
  <c r="R238" i="1"/>
  <c r="Q238" i="1"/>
  <c r="S238" i="1" s="1"/>
  <c r="U238" i="1" s="1"/>
  <c r="P238" i="1"/>
  <c r="O238" i="1"/>
  <c r="N238" i="1"/>
  <c r="M238" i="1"/>
  <c r="L238" i="1"/>
  <c r="R237" i="1"/>
  <c r="Q237" i="1"/>
  <c r="P237" i="1"/>
  <c r="O237" i="1"/>
  <c r="N237" i="1"/>
  <c r="M237" i="1"/>
  <c r="S237" i="1" s="1"/>
  <c r="U237" i="1" s="1"/>
  <c r="L237" i="1"/>
  <c r="Q236" i="1"/>
  <c r="P236" i="1"/>
  <c r="O236" i="1"/>
  <c r="N236" i="1"/>
  <c r="L236" i="1"/>
  <c r="R236" i="1" s="1"/>
  <c r="R235" i="1"/>
  <c r="Q235" i="1"/>
  <c r="P235" i="1"/>
  <c r="O235" i="1"/>
  <c r="N235" i="1"/>
  <c r="L235" i="1"/>
  <c r="M235" i="1" s="1"/>
  <c r="S235" i="1" s="1"/>
  <c r="U235" i="1" s="1"/>
  <c r="R234" i="1"/>
  <c r="Q234" i="1"/>
  <c r="S234" i="1" s="1"/>
  <c r="U234" i="1" s="1"/>
  <c r="P234" i="1"/>
  <c r="O234" i="1"/>
  <c r="N234" i="1"/>
  <c r="M234" i="1"/>
  <c r="L234" i="1"/>
  <c r="Q233" i="1"/>
  <c r="P233" i="1"/>
  <c r="O233" i="1"/>
  <c r="N233" i="1"/>
  <c r="L233" i="1"/>
  <c r="R233" i="1" s="1"/>
  <c r="R232" i="1"/>
  <c r="Q232" i="1"/>
  <c r="S232" i="1" s="1"/>
  <c r="U232" i="1" s="1"/>
  <c r="P232" i="1"/>
  <c r="O232" i="1"/>
  <c r="N232" i="1"/>
  <c r="L232" i="1"/>
  <c r="M232" i="1" s="1"/>
  <c r="R231" i="1"/>
  <c r="Q231" i="1"/>
  <c r="P231" i="1"/>
  <c r="O231" i="1"/>
  <c r="N231" i="1"/>
  <c r="M231" i="1"/>
  <c r="L231" i="1"/>
  <c r="Q230" i="1"/>
  <c r="P230" i="1"/>
  <c r="O230" i="1"/>
  <c r="N230" i="1"/>
  <c r="L230" i="1"/>
  <c r="R230" i="1" s="1"/>
  <c r="R229" i="1"/>
  <c r="Q229" i="1"/>
  <c r="S229" i="1" s="1"/>
  <c r="U229" i="1" s="1"/>
  <c r="P229" i="1"/>
  <c r="O229" i="1"/>
  <c r="N229" i="1"/>
  <c r="L229" i="1"/>
  <c r="M229" i="1" s="1"/>
  <c r="R228" i="1"/>
  <c r="Q228" i="1"/>
  <c r="P228" i="1"/>
  <c r="O228" i="1"/>
  <c r="S228" i="1" s="1"/>
  <c r="U228" i="1" s="1"/>
  <c r="N228" i="1"/>
  <c r="L228" i="1"/>
  <c r="M228" i="1" s="1"/>
  <c r="Q227" i="1"/>
  <c r="P227" i="1"/>
  <c r="O227" i="1"/>
  <c r="N227" i="1"/>
  <c r="M227" i="1"/>
  <c r="S227" i="1" s="1"/>
  <c r="U227" i="1" s="1"/>
  <c r="L227" i="1"/>
  <c r="R227" i="1" s="1"/>
  <c r="Q226" i="1"/>
  <c r="P226" i="1"/>
  <c r="O226" i="1"/>
  <c r="N226" i="1"/>
  <c r="L226" i="1"/>
  <c r="Q225" i="1"/>
  <c r="P225" i="1"/>
  <c r="O225" i="1"/>
  <c r="N225" i="1"/>
  <c r="L225" i="1"/>
  <c r="R224" i="1"/>
  <c r="Q224" i="1"/>
  <c r="P224" i="1"/>
  <c r="O224" i="1"/>
  <c r="N224" i="1"/>
  <c r="M224" i="1"/>
  <c r="L224" i="1"/>
  <c r="Q223" i="1"/>
  <c r="P223" i="1"/>
  <c r="O223" i="1"/>
  <c r="N223" i="1"/>
  <c r="L223" i="1"/>
  <c r="R223" i="1" s="1"/>
  <c r="R222" i="1"/>
  <c r="Q222" i="1"/>
  <c r="P222" i="1"/>
  <c r="O222" i="1"/>
  <c r="N222" i="1"/>
  <c r="L222" i="1"/>
  <c r="M222" i="1" s="1"/>
  <c r="R221" i="1"/>
  <c r="Q221" i="1"/>
  <c r="S221" i="1" s="1"/>
  <c r="U221" i="1" s="1"/>
  <c r="P221" i="1"/>
  <c r="O221" i="1"/>
  <c r="N221" i="1"/>
  <c r="L221" i="1"/>
  <c r="M221" i="1" s="1"/>
  <c r="Q220" i="1"/>
  <c r="P220" i="1"/>
  <c r="O220" i="1"/>
  <c r="N220" i="1"/>
  <c r="L220" i="1"/>
  <c r="R219" i="1"/>
  <c r="Q219" i="1"/>
  <c r="P219" i="1"/>
  <c r="O219" i="1"/>
  <c r="N219" i="1"/>
  <c r="L219" i="1"/>
  <c r="M219" i="1" s="1"/>
  <c r="Q218" i="1"/>
  <c r="P218" i="1"/>
  <c r="O218" i="1"/>
  <c r="N218" i="1"/>
  <c r="M218" i="1"/>
  <c r="L218" i="1"/>
  <c r="R218" i="1" s="1"/>
  <c r="R217" i="1"/>
  <c r="Q217" i="1"/>
  <c r="P217" i="1"/>
  <c r="O217" i="1"/>
  <c r="N217" i="1"/>
  <c r="L217" i="1"/>
  <c r="M217" i="1" s="1"/>
  <c r="R216" i="1"/>
  <c r="Q216" i="1"/>
  <c r="P216" i="1"/>
  <c r="O216" i="1"/>
  <c r="N216" i="1"/>
  <c r="M216" i="1"/>
  <c r="L216" i="1"/>
  <c r="R215" i="1"/>
  <c r="Q215" i="1"/>
  <c r="P215" i="1"/>
  <c r="O215" i="1"/>
  <c r="N215" i="1"/>
  <c r="L215" i="1"/>
  <c r="M215" i="1" s="1"/>
  <c r="Q214" i="1"/>
  <c r="P214" i="1"/>
  <c r="O214" i="1"/>
  <c r="N214" i="1"/>
  <c r="L214" i="1"/>
  <c r="U213" i="1"/>
  <c r="R213" i="1"/>
  <c r="Q213" i="1"/>
  <c r="P213" i="1"/>
  <c r="O213" i="1"/>
  <c r="N213" i="1"/>
  <c r="L213" i="1"/>
  <c r="M213" i="1" s="1"/>
  <c r="S213" i="1" s="1"/>
  <c r="R212" i="1"/>
  <c r="Q212" i="1"/>
  <c r="P212" i="1"/>
  <c r="O212" i="1"/>
  <c r="N212" i="1"/>
  <c r="M212" i="1"/>
  <c r="L212" i="1"/>
  <c r="Q211" i="1"/>
  <c r="P211" i="1"/>
  <c r="O211" i="1"/>
  <c r="N211" i="1"/>
  <c r="L211" i="1"/>
  <c r="R211" i="1" s="1"/>
  <c r="R210" i="1"/>
  <c r="Q210" i="1"/>
  <c r="P210" i="1"/>
  <c r="O210" i="1"/>
  <c r="N210" i="1"/>
  <c r="L210" i="1"/>
  <c r="M210" i="1" s="1"/>
  <c r="R209" i="1"/>
  <c r="Q209" i="1"/>
  <c r="P209" i="1"/>
  <c r="O209" i="1"/>
  <c r="N209" i="1"/>
  <c r="M209" i="1"/>
  <c r="L209" i="1"/>
  <c r="Q208" i="1"/>
  <c r="P208" i="1"/>
  <c r="O208" i="1"/>
  <c r="N208" i="1"/>
  <c r="L208" i="1"/>
  <c r="Q207" i="1"/>
  <c r="P207" i="1"/>
  <c r="O207" i="1"/>
  <c r="N207" i="1"/>
  <c r="L207" i="1"/>
  <c r="R206" i="1"/>
  <c r="Q206" i="1"/>
  <c r="P206" i="1"/>
  <c r="O206" i="1"/>
  <c r="N206" i="1"/>
  <c r="L206" i="1"/>
  <c r="M206" i="1" s="1"/>
  <c r="Q205" i="1"/>
  <c r="P205" i="1"/>
  <c r="O205" i="1"/>
  <c r="N205" i="1"/>
  <c r="L205" i="1"/>
  <c r="R205" i="1" s="1"/>
  <c r="Q204" i="1"/>
  <c r="P204" i="1"/>
  <c r="O204" i="1"/>
  <c r="N204" i="1"/>
  <c r="L204" i="1"/>
  <c r="R204" i="1" s="1"/>
  <c r="R203" i="1"/>
  <c r="Q203" i="1"/>
  <c r="P203" i="1"/>
  <c r="O203" i="1"/>
  <c r="N203" i="1"/>
  <c r="L203" i="1"/>
  <c r="M203" i="1" s="1"/>
  <c r="R202" i="1"/>
  <c r="Q202" i="1"/>
  <c r="P202" i="1"/>
  <c r="O202" i="1"/>
  <c r="N202" i="1"/>
  <c r="M202" i="1"/>
  <c r="S202" i="1" s="1"/>
  <c r="U202" i="1" s="1"/>
  <c r="L202" i="1"/>
  <c r="R201" i="1"/>
  <c r="Q201" i="1"/>
  <c r="P201" i="1"/>
  <c r="O201" i="1"/>
  <c r="N201" i="1"/>
  <c r="M201" i="1"/>
  <c r="S201" i="1" s="1"/>
  <c r="U201" i="1" s="1"/>
  <c r="L201" i="1"/>
  <c r="R200" i="1"/>
  <c r="Q200" i="1"/>
  <c r="S200" i="1" s="1"/>
  <c r="U200" i="1" s="1"/>
  <c r="P200" i="1"/>
  <c r="O200" i="1"/>
  <c r="N200" i="1"/>
  <c r="L200" i="1"/>
  <c r="M200" i="1" s="1"/>
  <c r="Q199" i="1"/>
  <c r="P199" i="1"/>
  <c r="O199" i="1"/>
  <c r="N199" i="1"/>
  <c r="L199" i="1"/>
  <c r="R199" i="1" s="1"/>
  <c r="R198" i="1"/>
  <c r="Q198" i="1"/>
  <c r="P198" i="1"/>
  <c r="O198" i="1"/>
  <c r="N198" i="1"/>
  <c r="L198" i="1"/>
  <c r="M198" i="1" s="1"/>
  <c r="R197" i="1"/>
  <c r="Q197" i="1"/>
  <c r="P197" i="1"/>
  <c r="O197" i="1"/>
  <c r="N197" i="1"/>
  <c r="M197" i="1"/>
  <c r="L197" i="1"/>
  <c r="Q196" i="1"/>
  <c r="P196" i="1"/>
  <c r="O196" i="1"/>
  <c r="N196" i="1"/>
  <c r="L196" i="1"/>
  <c r="R196" i="1" s="1"/>
  <c r="R195" i="1"/>
  <c r="Q195" i="1"/>
  <c r="P195" i="1"/>
  <c r="O195" i="1"/>
  <c r="S195" i="1" s="1"/>
  <c r="U195" i="1" s="1"/>
  <c r="N195" i="1"/>
  <c r="M195" i="1"/>
  <c r="L195" i="1"/>
  <c r="R194" i="1"/>
  <c r="Q194" i="1"/>
  <c r="P194" i="1"/>
  <c r="O194" i="1"/>
  <c r="N194" i="1"/>
  <c r="L194" i="1"/>
  <c r="M194" i="1" s="1"/>
  <c r="R193" i="1"/>
  <c r="Q193" i="1"/>
  <c r="S193" i="1" s="1"/>
  <c r="U193" i="1" s="1"/>
  <c r="P193" i="1"/>
  <c r="O193" i="1"/>
  <c r="N193" i="1"/>
  <c r="L193" i="1"/>
  <c r="M193" i="1" s="1"/>
  <c r="Q192" i="1"/>
  <c r="P192" i="1"/>
  <c r="O192" i="1"/>
  <c r="N192" i="1"/>
  <c r="L192" i="1"/>
  <c r="R191" i="1"/>
  <c r="Q191" i="1"/>
  <c r="P191" i="1"/>
  <c r="O191" i="1"/>
  <c r="N191" i="1"/>
  <c r="L191" i="1"/>
  <c r="M191" i="1" s="1"/>
  <c r="S191" i="1" s="1"/>
  <c r="U191" i="1" s="1"/>
  <c r="R190" i="1"/>
  <c r="Q190" i="1"/>
  <c r="S190" i="1" s="1"/>
  <c r="U190" i="1" s="1"/>
  <c r="P190" i="1"/>
  <c r="O190" i="1"/>
  <c r="N190" i="1"/>
  <c r="M190" i="1"/>
  <c r="L190" i="1"/>
  <c r="Q189" i="1"/>
  <c r="P189" i="1"/>
  <c r="O189" i="1"/>
  <c r="N189" i="1"/>
  <c r="L189" i="1"/>
  <c r="R189" i="1" s="1"/>
  <c r="S188" i="1"/>
  <c r="U188" i="1" s="1"/>
  <c r="R188" i="1"/>
  <c r="Q188" i="1"/>
  <c r="P188" i="1"/>
  <c r="O188" i="1"/>
  <c r="N188" i="1"/>
  <c r="L188" i="1"/>
  <c r="M188" i="1" s="1"/>
  <c r="Q187" i="1"/>
  <c r="P187" i="1"/>
  <c r="O187" i="1"/>
  <c r="N187" i="1"/>
  <c r="L187" i="1"/>
  <c r="M187" i="1" s="1"/>
  <c r="S187" i="1" s="1"/>
  <c r="U187" i="1" s="1"/>
  <c r="Q186" i="1"/>
  <c r="P186" i="1"/>
  <c r="O186" i="1"/>
  <c r="N186" i="1"/>
  <c r="L186" i="1"/>
  <c r="Q185" i="1"/>
  <c r="P185" i="1"/>
  <c r="O185" i="1"/>
  <c r="N185" i="1"/>
  <c r="M185" i="1"/>
  <c r="S185" i="1" s="1"/>
  <c r="U185" i="1" s="1"/>
  <c r="L185" i="1"/>
  <c r="R185" i="1" s="1"/>
  <c r="Q184" i="1"/>
  <c r="P184" i="1"/>
  <c r="O184" i="1"/>
  <c r="N184" i="1"/>
  <c r="L184" i="1"/>
  <c r="U183" i="1"/>
  <c r="R183" i="1"/>
  <c r="Q183" i="1"/>
  <c r="P183" i="1"/>
  <c r="O183" i="1"/>
  <c r="N183" i="1"/>
  <c r="L183" i="1"/>
  <c r="M183" i="1" s="1"/>
  <c r="S183" i="1" s="1"/>
  <c r="Q182" i="1"/>
  <c r="P182" i="1"/>
  <c r="O182" i="1"/>
  <c r="N182" i="1"/>
  <c r="M182" i="1"/>
  <c r="S182" i="1" s="1"/>
  <c r="U182" i="1" s="1"/>
  <c r="L182" i="1"/>
  <c r="R182" i="1" s="1"/>
  <c r="Q181" i="1"/>
  <c r="S181" i="1" s="1"/>
  <c r="U181" i="1" s="1"/>
  <c r="P181" i="1"/>
  <c r="O181" i="1"/>
  <c r="N181" i="1"/>
  <c r="L181" i="1"/>
  <c r="M181" i="1" s="1"/>
  <c r="Q180" i="1"/>
  <c r="P180" i="1"/>
  <c r="O180" i="1"/>
  <c r="N180" i="1"/>
  <c r="L180" i="1"/>
  <c r="M180" i="1" s="1"/>
  <c r="Q179" i="1"/>
  <c r="P179" i="1"/>
  <c r="O179" i="1"/>
  <c r="N179" i="1"/>
  <c r="L179" i="1"/>
  <c r="S178" i="1"/>
  <c r="U178" i="1" s="1"/>
  <c r="R178" i="1"/>
  <c r="Q178" i="1"/>
  <c r="P178" i="1"/>
  <c r="O178" i="1"/>
  <c r="N178" i="1"/>
  <c r="M178" i="1"/>
  <c r="L178" i="1"/>
  <c r="Q177" i="1"/>
  <c r="P177" i="1"/>
  <c r="O177" i="1"/>
  <c r="N177" i="1"/>
  <c r="L177" i="1"/>
  <c r="R177" i="1" s="1"/>
  <c r="S176" i="1"/>
  <c r="U176" i="1" s="1"/>
  <c r="R176" i="1"/>
  <c r="Q176" i="1"/>
  <c r="P176" i="1"/>
  <c r="O176" i="1"/>
  <c r="N176" i="1"/>
  <c r="L176" i="1"/>
  <c r="M176" i="1" s="1"/>
  <c r="R175" i="1"/>
  <c r="Q175" i="1"/>
  <c r="P175" i="1"/>
  <c r="O175" i="1"/>
  <c r="N175" i="1"/>
  <c r="L175" i="1"/>
  <c r="M175" i="1" s="1"/>
  <c r="S175" i="1" s="1"/>
  <c r="U175" i="1" s="1"/>
  <c r="Q174" i="1"/>
  <c r="P174" i="1"/>
  <c r="O174" i="1"/>
  <c r="N174" i="1"/>
  <c r="L174" i="1"/>
  <c r="R174" i="1" s="1"/>
  <c r="Q173" i="1"/>
  <c r="P173" i="1"/>
  <c r="O173" i="1"/>
  <c r="N173" i="1"/>
  <c r="L173" i="1"/>
  <c r="R173" i="1" s="1"/>
  <c r="R172" i="1"/>
  <c r="Q172" i="1"/>
  <c r="S172" i="1" s="1"/>
  <c r="U172" i="1" s="1"/>
  <c r="P172" i="1"/>
  <c r="O172" i="1"/>
  <c r="N172" i="1"/>
  <c r="L172" i="1"/>
  <c r="M172" i="1" s="1"/>
  <c r="R171" i="1"/>
  <c r="Q171" i="1"/>
  <c r="P171" i="1"/>
  <c r="O171" i="1"/>
  <c r="N171" i="1"/>
  <c r="M171" i="1"/>
  <c r="S171" i="1" s="1"/>
  <c r="U171" i="1" s="1"/>
  <c r="L171" i="1"/>
  <c r="Q170" i="1"/>
  <c r="P170" i="1"/>
  <c r="O170" i="1"/>
  <c r="N170" i="1"/>
  <c r="L170" i="1"/>
  <c r="Q169" i="1"/>
  <c r="P169" i="1"/>
  <c r="O169" i="1"/>
  <c r="N169" i="1"/>
  <c r="L169" i="1"/>
  <c r="Q168" i="1"/>
  <c r="P168" i="1"/>
  <c r="O168" i="1"/>
  <c r="N168" i="1"/>
  <c r="L168" i="1"/>
  <c r="R168" i="1" s="1"/>
  <c r="Q167" i="1"/>
  <c r="P167" i="1"/>
  <c r="O167" i="1"/>
  <c r="N167" i="1"/>
  <c r="M167" i="1"/>
  <c r="S167" i="1" s="1"/>
  <c r="U167" i="1" s="1"/>
  <c r="L167" i="1"/>
  <c r="R167" i="1" s="1"/>
  <c r="R166" i="1"/>
  <c r="Q166" i="1"/>
  <c r="S166" i="1" s="1"/>
  <c r="U166" i="1" s="1"/>
  <c r="P166" i="1"/>
  <c r="O166" i="1"/>
  <c r="N166" i="1"/>
  <c r="L166" i="1"/>
  <c r="M166" i="1" s="1"/>
  <c r="R165" i="1"/>
  <c r="Q165" i="1"/>
  <c r="P165" i="1"/>
  <c r="O165" i="1"/>
  <c r="N165" i="1"/>
  <c r="L165" i="1"/>
  <c r="M165" i="1" s="1"/>
  <c r="S165" i="1" s="1"/>
  <c r="U165" i="1" s="1"/>
  <c r="Q164" i="1"/>
  <c r="P164" i="1"/>
  <c r="O164" i="1"/>
  <c r="N164" i="1"/>
  <c r="L164" i="1"/>
  <c r="R164" i="1" s="1"/>
  <c r="R163" i="1"/>
  <c r="Q163" i="1"/>
  <c r="P163" i="1"/>
  <c r="O163" i="1"/>
  <c r="N163" i="1"/>
  <c r="L163" i="1"/>
  <c r="M163" i="1" s="1"/>
  <c r="Q162" i="1"/>
  <c r="P162" i="1"/>
  <c r="O162" i="1"/>
  <c r="N162" i="1"/>
  <c r="L162" i="1"/>
  <c r="R162" i="1" s="1"/>
  <c r="R161" i="1"/>
  <c r="Q161" i="1"/>
  <c r="P161" i="1"/>
  <c r="O161" i="1"/>
  <c r="N161" i="1"/>
  <c r="M161" i="1"/>
  <c r="L161" i="1"/>
  <c r="Q160" i="1"/>
  <c r="P160" i="1"/>
  <c r="O160" i="1"/>
  <c r="N160" i="1"/>
  <c r="L160" i="1"/>
  <c r="R159" i="1"/>
  <c r="Q159" i="1"/>
  <c r="P159" i="1"/>
  <c r="O159" i="1"/>
  <c r="N159" i="1"/>
  <c r="M159" i="1"/>
  <c r="L159" i="1"/>
  <c r="R158" i="1"/>
  <c r="Q158" i="1"/>
  <c r="S158" i="1" s="1"/>
  <c r="U158" i="1" s="1"/>
  <c r="P158" i="1"/>
  <c r="O158" i="1"/>
  <c r="N158" i="1"/>
  <c r="L158" i="1"/>
  <c r="M158" i="1" s="1"/>
  <c r="Q157" i="1"/>
  <c r="P157" i="1"/>
  <c r="O157" i="1"/>
  <c r="N157" i="1"/>
  <c r="L157" i="1"/>
  <c r="R157" i="1" s="1"/>
  <c r="R156" i="1"/>
  <c r="Q156" i="1"/>
  <c r="P156" i="1"/>
  <c r="O156" i="1"/>
  <c r="N156" i="1"/>
  <c r="M156" i="1"/>
  <c r="L156" i="1"/>
  <c r="R155" i="1"/>
  <c r="Q155" i="1"/>
  <c r="P155" i="1"/>
  <c r="O155" i="1"/>
  <c r="N155" i="1"/>
  <c r="L155" i="1"/>
  <c r="M155" i="1" s="1"/>
  <c r="Q154" i="1"/>
  <c r="P154" i="1"/>
  <c r="O154" i="1"/>
  <c r="N154" i="1"/>
  <c r="M154" i="1"/>
  <c r="L154" i="1"/>
  <c r="R154" i="1" s="1"/>
  <c r="R153" i="1"/>
  <c r="Q153" i="1"/>
  <c r="P153" i="1"/>
  <c r="O153" i="1"/>
  <c r="N153" i="1"/>
  <c r="L153" i="1"/>
  <c r="M153" i="1" s="1"/>
  <c r="S153" i="1" s="1"/>
  <c r="U153" i="1" s="1"/>
  <c r="R152" i="1"/>
  <c r="Q152" i="1"/>
  <c r="S152" i="1" s="1"/>
  <c r="U152" i="1" s="1"/>
  <c r="P152" i="1"/>
  <c r="O152" i="1"/>
  <c r="N152" i="1"/>
  <c r="M152" i="1"/>
  <c r="L152" i="1"/>
  <c r="Q151" i="1"/>
  <c r="P151" i="1"/>
  <c r="O151" i="1"/>
  <c r="N151" i="1"/>
  <c r="L151" i="1"/>
  <c r="R150" i="1"/>
  <c r="Q150" i="1"/>
  <c r="S150" i="1" s="1"/>
  <c r="U150" i="1" s="1"/>
  <c r="P150" i="1"/>
  <c r="O150" i="1"/>
  <c r="N150" i="1"/>
  <c r="L150" i="1"/>
  <c r="M150" i="1" s="1"/>
  <c r="Q149" i="1"/>
  <c r="P149" i="1"/>
  <c r="O149" i="1"/>
  <c r="N149" i="1"/>
  <c r="M149" i="1"/>
  <c r="S149" i="1" s="1"/>
  <c r="U149" i="1" s="1"/>
  <c r="L149" i="1"/>
  <c r="R149" i="1" s="1"/>
  <c r="Q148" i="1"/>
  <c r="P148" i="1"/>
  <c r="O148" i="1"/>
  <c r="N148" i="1"/>
  <c r="M148" i="1"/>
  <c r="L148" i="1"/>
  <c r="R148" i="1" s="1"/>
  <c r="R147" i="1"/>
  <c r="Q147" i="1"/>
  <c r="P147" i="1"/>
  <c r="O147" i="1"/>
  <c r="N147" i="1"/>
  <c r="M147" i="1"/>
  <c r="L147" i="1"/>
  <c r="Q146" i="1"/>
  <c r="P146" i="1"/>
  <c r="O146" i="1"/>
  <c r="N146" i="1"/>
  <c r="L146" i="1"/>
  <c r="R146" i="1" s="1"/>
  <c r="Q145" i="1"/>
  <c r="P145" i="1"/>
  <c r="O145" i="1"/>
  <c r="N145" i="1"/>
  <c r="L145" i="1"/>
  <c r="M145" i="1" s="1"/>
  <c r="S145" i="1" s="1"/>
  <c r="U145" i="1" s="1"/>
  <c r="Q144" i="1"/>
  <c r="P144" i="1"/>
  <c r="O144" i="1"/>
  <c r="N144" i="1"/>
  <c r="L144" i="1"/>
  <c r="M144" i="1" s="1"/>
  <c r="S144" i="1" s="1"/>
  <c r="U144" i="1" s="1"/>
  <c r="Q143" i="1"/>
  <c r="P143" i="1"/>
  <c r="O143" i="1"/>
  <c r="N143" i="1"/>
  <c r="L143" i="1"/>
  <c r="R143" i="1" s="1"/>
  <c r="R142" i="1"/>
  <c r="Q142" i="1"/>
  <c r="P142" i="1"/>
  <c r="O142" i="1"/>
  <c r="N142" i="1"/>
  <c r="M142" i="1"/>
  <c r="L142" i="1"/>
  <c r="R141" i="1"/>
  <c r="Q141" i="1"/>
  <c r="P141" i="1"/>
  <c r="O141" i="1"/>
  <c r="N141" i="1"/>
  <c r="L141" i="1"/>
  <c r="M141" i="1" s="1"/>
  <c r="R140" i="1"/>
  <c r="Q140" i="1"/>
  <c r="P140" i="1"/>
  <c r="O140" i="1"/>
  <c r="N140" i="1"/>
  <c r="M140" i="1"/>
  <c r="L140" i="1"/>
  <c r="R139" i="1"/>
  <c r="Q139" i="1"/>
  <c r="P139" i="1"/>
  <c r="O139" i="1"/>
  <c r="N139" i="1"/>
  <c r="L139" i="1"/>
  <c r="M139" i="1" s="1"/>
  <c r="S139" i="1" s="1"/>
  <c r="U139" i="1" s="1"/>
  <c r="Q138" i="1"/>
  <c r="P138" i="1"/>
  <c r="O138" i="1"/>
  <c r="N138" i="1"/>
  <c r="M138" i="1"/>
  <c r="L138" i="1"/>
  <c r="R138" i="1" s="1"/>
  <c r="R137" i="1"/>
  <c r="Q137" i="1"/>
  <c r="S137" i="1" s="1"/>
  <c r="U137" i="1" s="1"/>
  <c r="P137" i="1"/>
  <c r="O137" i="1"/>
  <c r="N137" i="1"/>
  <c r="L137" i="1"/>
  <c r="M137" i="1" s="1"/>
  <c r="R136" i="1"/>
  <c r="Q136" i="1"/>
  <c r="S136" i="1" s="1"/>
  <c r="U136" i="1" s="1"/>
  <c r="P136" i="1"/>
  <c r="O136" i="1"/>
  <c r="N136" i="1"/>
  <c r="L136" i="1"/>
  <c r="M136" i="1" s="1"/>
  <c r="Q135" i="1"/>
  <c r="P135" i="1"/>
  <c r="O135" i="1"/>
  <c r="N135" i="1"/>
  <c r="L135" i="1"/>
  <c r="R134" i="1"/>
  <c r="Q134" i="1"/>
  <c r="S134" i="1" s="1"/>
  <c r="U134" i="1" s="1"/>
  <c r="P134" i="1"/>
  <c r="O134" i="1"/>
  <c r="N134" i="1"/>
  <c r="L134" i="1"/>
  <c r="M134" i="1" s="1"/>
  <c r="R133" i="1"/>
  <c r="Q133" i="1"/>
  <c r="P133" i="1"/>
  <c r="O133" i="1"/>
  <c r="N133" i="1"/>
  <c r="L133" i="1"/>
  <c r="M133" i="1" s="1"/>
  <c r="Q132" i="1"/>
  <c r="P132" i="1"/>
  <c r="O132" i="1"/>
  <c r="N132" i="1"/>
  <c r="L132" i="1"/>
  <c r="R132" i="1" s="1"/>
  <c r="R131" i="1"/>
  <c r="Q131" i="1"/>
  <c r="P131" i="1"/>
  <c r="O131" i="1"/>
  <c r="N131" i="1"/>
  <c r="L131" i="1"/>
  <c r="M131" i="1" s="1"/>
  <c r="Q130" i="1"/>
  <c r="P130" i="1"/>
  <c r="O130" i="1"/>
  <c r="N130" i="1"/>
  <c r="L130" i="1"/>
  <c r="Q129" i="1"/>
  <c r="P129" i="1"/>
  <c r="O129" i="1"/>
  <c r="N129" i="1"/>
  <c r="L129" i="1"/>
  <c r="Q128" i="1"/>
  <c r="P128" i="1"/>
  <c r="O128" i="1"/>
  <c r="N128" i="1"/>
  <c r="L128" i="1"/>
  <c r="Q127" i="1"/>
  <c r="P127" i="1"/>
  <c r="O127" i="1"/>
  <c r="N127" i="1"/>
  <c r="L127" i="1"/>
  <c r="R127" i="1" s="1"/>
  <c r="Q126" i="1"/>
  <c r="P126" i="1"/>
  <c r="O126" i="1"/>
  <c r="N126" i="1"/>
  <c r="L126" i="1"/>
  <c r="Q125" i="1"/>
  <c r="P125" i="1"/>
  <c r="O125" i="1"/>
  <c r="N125" i="1"/>
  <c r="L125" i="1"/>
  <c r="R125" i="1" s="1"/>
  <c r="Q124" i="1"/>
  <c r="P124" i="1"/>
  <c r="O124" i="1"/>
  <c r="N124" i="1"/>
  <c r="L124" i="1"/>
  <c r="R123" i="1"/>
  <c r="Q123" i="1"/>
  <c r="S123" i="1" s="1"/>
  <c r="U123" i="1" s="1"/>
  <c r="P123" i="1"/>
  <c r="O123" i="1"/>
  <c r="N123" i="1"/>
  <c r="L123" i="1"/>
  <c r="M123" i="1" s="1"/>
  <c r="R122" i="1"/>
  <c r="Q122" i="1"/>
  <c r="P122" i="1"/>
  <c r="O122" i="1"/>
  <c r="N122" i="1"/>
  <c r="M122" i="1"/>
  <c r="S122" i="1" s="1"/>
  <c r="U122" i="1" s="1"/>
  <c r="L122" i="1"/>
  <c r="R121" i="1"/>
  <c r="Q121" i="1"/>
  <c r="P121" i="1"/>
  <c r="O121" i="1"/>
  <c r="N121" i="1"/>
  <c r="M121" i="1"/>
  <c r="L121" i="1"/>
  <c r="Q120" i="1"/>
  <c r="P120" i="1"/>
  <c r="O120" i="1"/>
  <c r="N120" i="1"/>
  <c r="L120" i="1"/>
  <c r="Q119" i="1"/>
  <c r="P119" i="1"/>
  <c r="O119" i="1"/>
  <c r="N119" i="1"/>
  <c r="L119" i="1"/>
  <c r="R118" i="1"/>
  <c r="Q118" i="1"/>
  <c r="S118" i="1" s="1"/>
  <c r="U118" i="1" s="1"/>
  <c r="P118" i="1"/>
  <c r="O118" i="1"/>
  <c r="N118" i="1"/>
  <c r="M118" i="1"/>
  <c r="L118" i="1"/>
  <c r="Q117" i="1"/>
  <c r="P117" i="1"/>
  <c r="O117" i="1"/>
  <c r="N117" i="1"/>
  <c r="L117" i="1"/>
  <c r="R117" i="1" s="1"/>
  <c r="Q116" i="1"/>
  <c r="P116" i="1"/>
  <c r="O116" i="1"/>
  <c r="N116" i="1"/>
  <c r="L116" i="1"/>
  <c r="R115" i="1"/>
  <c r="Q115" i="1"/>
  <c r="P115" i="1"/>
  <c r="O115" i="1"/>
  <c r="N115" i="1"/>
  <c r="L115" i="1"/>
  <c r="M115" i="1" s="1"/>
  <c r="S115" i="1" s="1"/>
  <c r="U115" i="1" s="1"/>
  <c r="R114" i="1"/>
  <c r="Q114" i="1"/>
  <c r="P114" i="1"/>
  <c r="O114" i="1"/>
  <c r="N114" i="1"/>
  <c r="L114" i="1"/>
  <c r="M114" i="1" s="1"/>
  <c r="Q113" i="1"/>
  <c r="P113" i="1"/>
  <c r="O113" i="1"/>
  <c r="N113" i="1"/>
  <c r="L113" i="1"/>
  <c r="R112" i="1"/>
  <c r="Q112" i="1"/>
  <c r="P112" i="1"/>
  <c r="O112" i="1"/>
  <c r="S112" i="1" s="1"/>
  <c r="U112" i="1" s="1"/>
  <c r="N112" i="1"/>
  <c r="L112" i="1"/>
  <c r="M112" i="1" s="1"/>
  <c r="Q111" i="1"/>
  <c r="P111" i="1"/>
  <c r="O111" i="1"/>
  <c r="N111" i="1"/>
  <c r="L111" i="1"/>
  <c r="M111" i="1" s="1"/>
  <c r="Q110" i="1"/>
  <c r="P110" i="1"/>
  <c r="O110" i="1"/>
  <c r="N110" i="1"/>
  <c r="L110" i="1"/>
  <c r="Q109" i="1"/>
  <c r="P109" i="1"/>
  <c r="O109" i="1"/>
  <c r="N109" i="1"/>
  <c r="L109" i="1"/>
  <c r="R108" i="1"/>
  <c r="Q108" i="1"/>
  <c r="P108" i="1"/>
  <c r="O108" i="1"/>
  <c r="N108" i="1"/>
  <c r="L108" i="1"/>
  <c r="M108" i="1" s="1"/>
  <c r="S108" i="1" s="1"/>
  <c r="U108" i="1" s="1"/>
  <c r="Q107" i="1"/>
  <c r="P107" i="1"/>
  <c r="O107" i="1"/>
  <c r="N107" i="1"/>
  <c r="L107" i="1"/>
  <c r="Q106" i="1"/>
  <c r="P106" i="1"/>
  <c r="O106" i="1"/>
  <c r="N106" i="1"/>
  <c r="L106" i="1"/>
  <c r="R105" i="1"/>
  <c r="Q105" i="1"/>
  <c r="P105" i="1"/>
  <c r="O105" i="1"/>
  <c r="N105" i="1"/>
  <c r="L105" i="1"/>
  <c r="M105" i="1" s="1"/>
  <c r="R104" i="1"/>
  <c r="Q104" i="1"/>
  <c r="P104" i="1"/>
  <c r="O104" i="1"/>
  <c r="N104" i="1"/>
  <c r="M104" i="1"/>
  <c r="S104" i="1" s="1"/>
  <c r="U104" i="1" s="1"/>
  <c r="L104" i="1"/>
  <c r="R103" i="1"/>
  <c r="Q103" i="1"/>
  <c r="S103" i="1" s="1"/>
  <c r="U103" i="1" s="1"/>
  <c r="P103" i="1"/>
  <c r="O103" i="1"/>
  <c r="N103" i="1"/>
  <c r="L103" i="1"/>
  <c r="M103" i="1" s="1"/>
  <c r="Q102" i="1"/>
  <c r="P102" i="1"/>
  <c r="O102" i="1"/>
  <c r="N102" i="1"/>
  <c r="L102" i="1"/>
  <c r="S101" i="1"/>
  <c r="U101" i="1" s="1"/>
  <c r="Q101" i="1"/>
  <c r="P101" i="1"/>
  <c r="O101" i="1"/>
  <c r="N101" i="1"/>
  <c r="L101" i="1"/>
  <c r="M101" i="1" s="1"/>
  <c r="Q100" i="1"/>
  <c r="P100" i="1"/>
  <c r="O100" i="1"/>
  <c r="N100" i="1"/>
  <c r="L100" i="1"/>
  <c r="M100" i="1" s="1"/>
  <c r="S100" i="1" s="1"/>
  <c r="U100" i="1" s="1"/>
  <c r="R99" i="1"/>
  <c r="Q99" i="1"/>
  <c r="P99" i="1"/>
  <c r="O99" i="1"/>
  <c r="N99" i="1"/>
  <c r="M99" i="1"/>
  <c r="L99" i="1"/>
  <c r="R98" i="1"/>
  <c r="Q98" i="1"/>
  <c r="S98" i="1" s="1"/>
  <c r="U98" i="1" s="1"/>
  <c r="P98" i="1"/>
  <c r="O98" i="1"/>
  <c r="N98" i="1"/>
  <c r="L98" i="1"/>
  <c r="M98" i="1" s="1"/>
  <c r="Q97" i="1"/>
  <c r="P97" i="1"/>
  <c r="O97" i="1"/>
  <c r="N97" i="1"/>
  <c r="L97" i="1"/>
  <c r="R97" i="1" s="1"/>
  <c r="R96" i="1"/>
  <c r="Q96" i="1"/>
  <c r="S96" i="1" s="1"/>
  <c r="U96" i="1" s="1"/>
  <c r="P96" i="1"/>
  <c r="O96" i="1"/>
  <c r="N96" i="1"/>
  <c r="L96" i="1"/>
  <c r="M96" i="1" s="1"/>
  <c r="R95" i="1"/>
  <c r="Q95" i="1"/>
  <c r="P95" i="1"/>
  <c r="O95" i="1"/>
  <c r="N95" i="1"/>
  <c r="S95" i="1" s="1"/>
  <c r="U95" i="1" s="1"/>
  <c r="L95" i="1"/>
  <c r="M95" i="1" s="1"/>
  <c r="Q94" i="1"/>
  <c r="P94" i="1"/>
  <c r="O94" i="1"/>
  <c r="N94" i="1"/>
  <c r="L94" i="1"/>
  <c r="R94" i="1" s="1"/>
  <c r="R93" i="1"/>
  <c r="Q93" i="1"/>
  <c r="P93" i="1"/>
  <c r="O93" i="1"/>
  <c r="N93" i="1"/>
  <c r="L93" i="1"/>
  <c r="M93" i="1" s="1"/>
  <c r="Q92" i="1"/>
  <c r="P92" i="1"/>
  <c r="O92" i="1"/>
  <c r="N92" i="1"/>
  <c r="L92" i="1"/>
  <c r="R92" i="1" s="1"/>
  <c r="Q91" i="1"/>
  <c r="P91" i="1"/>
  <c r="O91" i="1"/>
  <c r="N91" i="1"/>
  <c r="L91" i="1"/>
  <c r="R91" i="1" s="1"/>
  <c r="R90" i="1"/>
  <c r="Q90" i="1"/>
  <c r="P90" i="1"/>
  <c r="O90" i="1"/>
  <c r="N90" i="1"/>
  <c r="L90" i="1"/>
  <c r="M90" i="1" s="1"/>
  <c r="R89" i="1"/>
  <c r="Q89" i="1"/>
  <c r="P89" i="1"/>
  <c r="O89" i="1"/>
  <c r="N89" i="1"/>
  <c r="L89" i="1"/>
  <c r="M89" i="1" s="1"/>
  <c r="S89" i="1" s="1"/>
  <c r="U89" i="1" s="1"/>
  <c r="R88" i="1"/>
  <c r="Q88" i="1"/>
  <c r="P88" i="1"/>
  <c r="O88" i="1"/>
  <c r="N88" i="1"/>
  <c r="L88" i="1"/>
  <c r="M88" i="1" s="1"/>
  <c r="Q87" i="1"/>
  <c r="P87" i="1"/>
  <c r="O87" i="1"/>
  <c r="N87" i="1"/>
  <c r="L87" i="1"/>
  <c r="Q86" i="1"/>
  <c r="P86" i="1"/>
  <c r="O86" i="1"/>
  <c r="N86" i="1"/>
  <c r="M86" i="1"/>
  <c r="L86" i="1"/>
  <c r="R86" i="1" s="1"/>
  <c r="Q85" i="1"/>
  <c r="P85" i="1"/>
  <c r="O85" i="1"/>
  <c r="N85" i="1"/>
  <c r="L85" i="1"/>
  <c r="R84" i="1"/>
  <c r="Q84" i="1"/>
  <c r="P84" i="1"/>
  <c r="O84" i="1"/>
  <c r="N84" i="1"/>
  <c r="M84" i="1"/>
  <c r="S84" i="1" s="1"/>
  <c r="U84" i="1" s="1"/>
  <c r="L84" i="1"/>
  <c r="Q83" i="1"/>
  <c r="P83" i="1"/>
  <c r="O83" i="1"/>
  <c r="N83" i="1"/>
  <c r="L83" i="1"/>
  <c r="R82" i="1"/>
  <c r="Q82" i="1"/>
  <c r="P82" i="1"/>
  <c r="O82" i="1"/>
  <c r="N82" i="1"/>
  <c r="M82" i="1"/>
  <c r="L82" i="1"/>
  <c r="Q81" i="1"/>
  <c r="P81" i="1"/>
  <c r="O81" i="1"/>
  <c r="N81" i="1"/>
  <c r="L81" i="1"/>
  <c r="R80" i="1"/>
  <c r="Q80" i="1"/>
  <c r="S80" i="1" s="1"/>
  <c r="U80" i="1" s="1"/>
  <c r="P80" i="1"/>
  <c r="O80" i="1"/>
  <c r="N80" i="1"/>
  <c r="M80" i="1"/>
  <c r="L80" i="1"/>
  <c r="R79" i="1"/>
  <c r="Q79" i="1"/>
  <c r="P79" i="1"/>
  <c r="O79" i="1"/>
  <c r="N79" i="1"/>
  <c r="M79" i="1"/>
  <c r="L79" i="1"/>
  <c r="Q78" i="1"/>
  <c r="P78" i="1"/>
  <c r="O78" i="1"/>
  <c r="N78" i="1"/>
  <c r="L78" i="1"/>
  <c r="R77" i="1"/>
  <c r="Q77" i="1"/>
  <c r="S77" i="1" s="1"/>
  <c r="U77" i="1" s="1"/>
  <c r="P77" i="1"/>
  <c r="O77" i="1"/>
  <c r="N77" i="1"/>
  <c r="L77" i="1"/>
  <c r="M77" i="1" s="1"/>
  <c r="Q76" i="1"/>
  <c r="P76" i="1"/>
  <c r="O76" i="1"/>
  <c r="N76" i="1"/>
  <c r="L76" i="1"/>
  <c r="R76" i="1" s="1"/>
  <c r="Q75" i="1"/>
  <c r="P75" i="1"/>
  <c r="O75" i="1"/>
  <c r="N75" i="1"/>
  <c r="L75" i="1"/>
  <c r="R74" i="1"/>
  <c r="Q74" i="1"/>
  <c r="P74" i="1"/>
  <c r="O74" i="1"/>
  <c r="S74" i="1" s="1"/>
  <c r="U74" i="1" s="1"/>
  <c r="N74" i="1"/>
  <c r="L74" i="1"/>
  <c r="M74" i="1" s="1"/>
  <c r="Q73" i="1"/>
  <c r="P73" i="1"/>
  <c r="O73" i="1"/>
  <c r="N73" i="1"/>
  <c r="L73" i="1"/>
  <c r="R73" i="1" s="1"/>
  <c r="Q72" i="1"/>
  <c r="P72" i="1"/>
  <c r="O72" i="1"/>
  <c r="N72" i="1"/>
  <c r="L72" i="1"/>
  <c r="R72" i="1" s="1"/>
  <c r="R71" i="1"/>
  <c r="Q71" i="1"/>
  <c r="S71" i="1" s="1"/>
  <c r="U71" i="1" s="1"/>
  <c r="P71" i="1"/>
  <c r="O71" i="1"/>
  <c r="N71" i="1"/>
  <c r="L71" i="1"/>
  <c r="M71" i="1" s="1"/>
  <c r="Q70" i="1"/>
  <c r="P70" i="1"/>
  <c r="O70" i="1"/>
  <c r="N70" i="1"/>
  <c r="L70" i="1"/>
  <c r="Q69" i="1"/>
  <c r="P69" i="1"/>
  <c r="O69" i="1"/>
  <c r="N69" i="1"/>
  <c r="L69" i="1"/>
  <c r="R69" i="1" s="1"/>
  <c r="R68" i="1"/>
  <c r="Q68" i="1"/>
  <c r="P68" i="1"/>
  <c r="O68" i="1"/>
  <c r="N68" i="1"/>
  <c r="L68" i="1"/>
  <c r="M68" i="1" s="1"/>
  <c r="Q67" i="1"/>
  <c r="P67" i="1"/>
  <c r="O67" i="1"/>
  <c r="N67" i="1"/>
  <c r="L67" i="1"/>
  <c r="R66" i="1"/>
  <c r="Q66" i="1"/>
  <c r="P66" i="1"/>
  <c r="O66" i="1"/>
  <c r="N66" i="1"/>
  <c r="L66" i="1"/>
  <c r="M66" i="1" s="1"/>
  <c r="Q65" i="1"/>
  <c r="P65" i="1"/>
  <c r="O65" i="1"/>
  <c r="N65" i="1"/>
  <c r="L65" i="1"/>
  <c r="R65" i="1" s="1"/>
  <c r="R64" i="1"/>
  <c r="Q64" i="1"/>
  <c r="S64" i="1" s="1"/>
  <c r="U64" i="1" s="1"/>
  <c r="P64" i="1"/>
  <c r="O64" i="1"/>
  <c r="N64" i="1"/>
  <c r="L64" i="1"/>
  <c r="M64" i="1" s="1"/>
  <c r="Q63" i="1"/>
  <c r="P63" i="1"/>
  <c r="O63" i="1"/>
  <c r="N63" i="1"/>
  <c r="L63" i="1"/>
  <c r="R63" i="1" s="1"/>
  <c r="R62" i="1"/>
  <c r="Q62" i="1"/>
  <c r="P62" i="1"/>
  <c r="O62" i="1"/>
  <c r="N62" i="1"/>
  <c r="L62" i="1"/>
  <c r="M62" i="1" s="1"/>
  <c r="R61" i="1"/>
  <c r="Q61" i="1"/>
  <c r="P61" i="1"/>
  <c r="O61" i="1"/>
  <c r="N61" i="1"/>
  <c r="M61" i="1"/>
  <c r="S61" i="1" s="1"/>
  <c r="U61" i="1" s="1"/>
  <c r="L61" i="1"/>
  <c r="Q60" i="1"/>
  <c r="P60" i="1"/>
  <c r="O60" i="1"/>
  <c r="N60" i="1"/>
  <c r="L60" i="1"/>
  <c r="R59" i="1"/>
  <c r="Q59" i="1"/>
  <c r="S59" i="1" s="1"/>
  <c r="U59" i="1" s="1"/>
  <c r="P59" i="1"/>
  <c r="O59" i="1"/>
  <c r="N59" i="1"/>
  <c r="L59" i="1"/>
  <c r="M59" i="1" s="1"/>
  <c r="R58" i="1"/>
  <c r="Q58" i="1"/>
  <c r="P58" i="1"/>
  <c r="O58" i="1"/>
  <c r="N58" i="1"/>
  <c r="M58" i="1"/>
  <c r="S58" i="1" s="1"/>
  <c r="U58" i="1" s="1"/>
  <c r="L58" i="1"/>
  <c r="Q57" i="1"/>
  <c r="P57" i="1"/>
  <c r="O57" i="1"/>
  <c r="N57" i="1"/>
  <c r="L57" i="1"/>
  <c r="R57" i="1" s="1"/>
  <c r="Q56" i="1"/>
  <c r="P56" i="1"/>
  <c r="O56" i="1"/>
  <c r="N56" i="1"/>
  <c r="L56" i="1"/>
  <c r="R56" i="1" s="1"/>
  <c r="R55" i="1"/>
  <c r="Q55" i="1"/>
  <c r="S55" i="1" s="1"/>
  <c r="U55" i="1" s="1"/>
  <c r="P55" i="1"/>
  <c r="O55" i="1"/>
  <c r="N55" i="1"/>
  <c r="L55" i="1"/>
  <c r="M55" i="1" s="1"/>
  <c r="R54" i="1"/>
  <c r="Q54" i="1"/>
  <c r="P54" i="1"/>
  <c r="O54" i="1"/>
  <c r="N54" i="1"/>
  <c r="S54" i="1" s="1"/>
  <c r="U54" i="1" s="1"/>
  <c r="L54" i="1"/>
  <c r="M54" i="1" s="1"/>
  <c r="Q53" i="1"/>
  <c r="P53" i="1"/>
  <c r="O53" i="1"/>
  <c r="N53" i="1"/>
  <c r="L53" i="1"/>
  <c r="Q52" i="1"/>
  <c r="P52" i="1"/>
  <c r="O52" i="1"/>
  <c r="N52" i="1"/>
  <c r="L52" i="1"/>
  <c r="R51" i="1"/>
  <c r="Q51" i="1"/>
  <c r="P51" i="1"/>
  <c r="O51" i="1"/>
  <c r="N51" i="1"/>
  <c r="L51" i="1"/>
  <c r="M51" i="1" s="1"/>
  <c r="Q50" i="1"/>
  <c r="P50" i="1"/>
  <c r="O50" i="1"/>
  <c r="N50" i="1"/>
  <c r="M50" i="1"/>
  <c r="S50" i="1" s="1"/>
  <c r="U50" i="1" s="1"/>
  <c r="L50" i="1"/>
  <c r="R50" i="1" s="1"/>
  <c r="Q49" i="1"/>
  <c r="P49" i="1"/>
  <c r="O49" i="1"/>
  <c r="N49" i="1"/>
  <c r="M49" i="1"/>
  <c r="L49" i="1"/>
  <c r="R49" i="1" s="1"/>
  <c r="R48" i="1"/>
  <c r="Q48" i="1"/>
  <c r="P48" i="1"/>
  <c r="O48" i="1"/>
  <c r="N48" i="1"/>
  <c r="L48" i="1"/>
  <c r="M48" i="1" s="1"/>
  <c r="S48" i="1" s="1"/>
  <c r="U48" i="1" s="1"/>
  <c r="Q47" i="1"/>
  <c r="P47" i="1"/>
  <c r="O47" i="1"/>
  <c r="N47" i="1"/>
  <c r="M47" i="1"/>
  <c r="S47" i="1" s="1"/>
  <c r="U47" i="1" s="1"/>
  <c r="L47" i="1"/>
  <c r="R47" i="1" s="1"/>
  <c r="R46" i="1"/>
  <c r="Q46" i="1"/>
  <c r="S46" i="1" s="1"/>
  <c r="U46" i="1" s="1"/>
  <c r="P46" i="1"/>
  <c r="O46" i="1"/>
  <c r="N46" i="1"/>
  <c r="L46" i="1"/>
  <c r="M46" i="1" s="1"/>
  <c r="R45" i="1"/>
  <c r="Q45" i="1"/>
  <c r="S45" i="1" s="1"/>
  <c r="U45" i="1" s="1"/>
  <c r="P45" i="1"/>
  <c r="O45" i="1"/>
  <c r="N45" i="1"/>
  <c r="M45" i="1"/>
  <c r="L45" i="1"/>
  <c r="Q44" i="1"/>
  <c r="P44" i="1"/>
  <c r="O44" i="1"/>
  <c r="N44" i="1"/>
  <c r="L44" i="1"/>
  <c r="R43" i="1"/>
  <c r="Q43" i="1"/>
  <c r="S43" i="1" s="1"/>
  <c r="U43" i="1" s="1"/>
  <c r="P43" i="1"/>
  <c r="O43" i="1"/>
  <c r="N43" i="1"/>
  <c r="L43" i="1"/>
  <c r="M43" i="1" s="1"/>
  <c r="R42" i="1"/>
  <c r="Q42" i="1"/>
  <c r="P42" i="1"/>
  <c r="O42" i="1"/>
  <c r="N42" i="1"/>
  <c r="M42" i="1"/>
  <c r="L42" i="1"/>
  <c r="R41" i="1"/>
  <c r="Q41" i="1"/>
  <c r="P41" i="1"/>
  <c r="O41" i="1"/>
  <c r="N41" i="1"/>
  <c r="L41" i="1"/>
  <c r="M41" i="1" s="1"/>
  <c r="R40" i="1"/>
  <c r="Q40" i="1"/>
  <c r="P40" i="1"/>
  <c r="O40" i="1"/>
  <c r="N40" i="1"/>
  <c r="M40" i="1"/>
  <c r="L40" i="1"/>
  <c r="R39" i="1"/>
  <c r="Q39" i="1"/>
  <c r="P39" i="1"/>
  <c r="O39" i="1"/>
  <c r="N39" i="1"/>
  <c r="L39" i="1"/>
  <c r="M39" i="1" s="1"/>
  <c r="R38" i="1"/>
  <c r="Q38" i="1"/>
  <c r="S38" i="1" s="1"/>
  <c r="U38" i="1" s="1"/>
  <c r="P38" i="1"/>
  <c r="O38" i="1"/>
  <c r="N38" i="1"/>
  <c r="L38" i="1"/>
  <c r="M38" i="1" s="1"/>
  <c r="Q37" i="1"/>
  <c r="P37" i="1"/>
  <c r="O37" i="1"/>
  <c r="N37" i="1"/>
  <c r="L37" i="1"/>
  <c r="R37" i="1" s="1"/>
  <c r="R36" i="1"/>
  <c r="Q36" i="1"/>
  <c r="P36" i="1"/>
  <c r="O36" i="1"/>
  <c r="N36" i="1"/>
  <c r="L36" i="1"/>
  <c r="M36" i="1" s="1"/>
  <c r="R35" i="1"/>
  <c r="Q35" i="1"/>
  <c r="P35" i="1"/>
  <c r="O35" i="1"/>
  <c r="N35" i="1"/>
  <c r="L35" i="1"/>
  <c r="M35" i="1" s="1"/>
  <c r="S35" i="1" s="1"/>
  <c r="U35" i="1" s="1"/>
  <c r="Q34" i="1"/>
  <c r="P34" i="1"/>
  <c r="O34" i="1"/>
  <c r="N34" i="1"/>
  <c r="L34" i="1"/>
  <c r="R34" i="1" s="1"/>
  <c r="R33" i="1"/>
  <c r="Q33" i="1"/>
  <c r="P33" i="1"/>
  <c r="O33" i="1"/>
  <c r="N33" i="1"/>
  <c r="L33" i="1"/>
  <c r="M33" i="1" s="1"/>
  <c r="Q32" i="1"/>
  <c r="P32" i="1"/>
  <c r="O32" i="1"/>
  <c r="N32" i="1"/>
  <c r="L32" i="1"/>
  <c r="Q31" i="1"/>
  <c r="P31" i="1"/>
  <c r="O31" i="1"/>
  <c r="N31" i="1"/>
  <c r="M31" i="1"/>
  <c r="L31" i="1"/>
  <c r="R31" i="1" s="1"/>
  <c r="R30" i="1"/>
  <c r="Q30" i="1"/>
  <c r="P30" i="1"/>
  <c r="O30" i="1"/>
  <c r="N30" i="1"/>
  <c r="L30" i="1"/>
  <c r="M30" i="1" s="1"/>
  <c r="R29" i="1"/>
  <c r="Q29" i="1"/>
  <c r="S29" i="1" s="1"/>
  <c r="U29" i="1" s="1"/>
  <c r="P29" i="1"/>
  <c r="O29" i="1"/>
  <c r="N29" i="1"/>
  <c r="L29" i="1"/>
  <c r="M29" i="1" s="1"/>
  <c r="Q28" i="1"/>
  <c r="P28" i="1"/>
  <c r="O28" i="1"/>
  <c r="N28" i="1"/>
  <c r="L28" i="1"/>
  <c r="R28" i="1" s="1"/>
  <c r="R27" i="1"/>
  <c r="Q27" i="1"/>
  <c r="P27" i="1"/>
  <c r="O27" i="1"/>
  <c r="N27" i="1"/>
  <c r="L27" i="1"/>
  <c r="M27" i="1" s="1"/>
  <c r="S27" i="1" s="1"/>
  <c r="U27" i="1" s="1"/>
  <c r="R26" i="1"/>
  <c r="Q26" i="1"/>
  <c r="P26" i="1"/>
  <c r="O26" i="1"/>
  <c r="N26" i="1"/>
  <c r="M26" i="1"/>
  <c r="S26" i="1" s="1"/>
  <c r="U26" i="1" s="1"/>
  <c r="L26" i="1"/>
  <c r="Q25" i="1"/>
  <c r="P25" i="1"/>
  <c r="O25" i="1"/>
  <c r="N25" i="1"/>
  <c r="L25" i="1"/>
  <c r="R24" i="1"/>
  <c r="Q24" i="1"/>
  <c r="P24" i="1"/>
  <c r="O24" i="1"/>
  <c r="N24" i="1"/>
  <c r="L24" i="1"/>
  <c r="M24" i="1" s="1"/>
  <c r="Q23" i="1"/>
  <c r="P23" i="1"/>
  <c r="O23" i="1"/>
  <c r="N23" i="1"/>
  <c r="L23" i="1"/>
  <c r="R22" i="1"/>
  <c r="Q22" i="1"/>
  <c r="S22" i="1" s="1"/>
  <c r="U22" i="1" s="1"/>
  <c r="P22" i="1"/>
  <c r="O22" i="1"/>
  <c r="N22" i="1"/>
  <c r="L22" i="1"/>
  <c r="M22" i="1" s="1"/>
  <c r="R21" i="1"/>
  <c r="Q21" i="1"/>
  <c r="P21" i="1"/>
  <c r="O21" i="1"/>
  <c r="N21" i="1"/>
  <c r="M21" i="1"/>
  <c r="L21" i="1"/>
  <c r="R20" i="1"/>
  <c r="Q20" i="1"/>
  <c r="S20" i="1" s="1"/>
  <c r="U20" i="1" s="1"/>
  <c r="P20" i="1"/>
  <c r="O20" i="1"/>
  <c r="N20" i="1"/>
  <c r="M20" i="1"/>
  <c r="L20" i="1"/>
  <c r="R19" i="1"/>
  <c r="Q19" i="1"/>
  <c r="P19" i="1"/>
  <c r="O19" i="1"/>
  <c r="N19" i="1"/>
  <c r="M19" i="1"/>
  <c r="S19" i="1" s="1"/>
  <c r="U19" i="1" s="1"/>
  <c r="L19" i="1"/>
  <c r="Q18" i="1"/>
  <c r="P18" i="1"/>
  <c r="O18" i="1"/>
  <c r="N18" i="1"/>
  <c r="L18" i="1"/>
  <c r="R17" i="1"/>
  <c r="Q17" i="1"/>
  <c r="P17" i="1"/>
  <c r="O17" i="1"/>
  <c r="S17" i="1" s="1"/>
  <c r="U17" i="1" s="1"/>
  <c r="N17" i="1"/>
  <c r="L17" i="1"/>
  <c r="M17" i="1" s="1"/>
  <c r="R16" i="1"/>
  <c r="Q16" i="1"/>
  <c r="P16" i="1"/>
  <c r="O16" i="1"/>
  <c r="N16" i="1"/>
  <c r="L16" i="1"/>
  <c r="M16" i="1" s="1"/>
  <c r="S16" i="1" s="1"/>
  <c r="U16" i="1" s="1"/>
  <c r="Q15" i="1"/>
  <c r="P15" i="1"/>
  <c r="O15" i="1"/>
  <c r="N15" i="1"/>
  <c r="M15" i="1"/>
  <c r="L15" i="1"/>
  <c r="R15" i="1" s="1"/>
  <c r="Q14" i="1"/>
  <c r="P14" i="1"/>
  <c r="O14" i="1"/>
  <c r="N14" i="1"/>
  <c r="L14" i="1"/>
  <c r="R13" i="1"/>
  <c r="Q13" i="1"/>
  <c r="P13" i="1"/>
  <c r="O13" i="1"/>
  <c r="N13" i="1"/>
  <c r="L13" i="1"/>
  <c r="M13" i="1" s="1"/>
  <c r="Q12" i="1"/>
  <c r="P12" i="1"/>
  <c r="O12" i="1"/>
  <c r="N12" i="1"/>
  <c r="L12" i="1"/>
  <c r="Q11" i="1"/>
  <c r="P11" i="1"/>
  <c r="O11" i="1"/>
  <c r="N11" i="1"/>
  <c r="L11" i="1"/>
  <c r="R11" i="1" s="1"/>
  <c r="R10" i="1"/>
  <c r="Q10" i="1"/>
  <c r="P10" i="1"/>
  <c r="O10" i="1"/>
  <c r="N10" i="1"/>
  <c r="M10" i="1"/>
  <c r="L10" i="1"/>
  <c r="S9" i="1"/>
  <c r="U9" i="1" s="1"/>
  <c r="Q9" i="1"/>
  <c r="P9" i="1"/>
  <c r="O9" i="1"/>
  <c r="N9" i="1"/>
  <c r="L9" i="1"/>
  <c r="M9" i="1" s="1"/>
  <c r="Q8" i="1"/>
  <c r="P8" i="1"/>
  <c r="O8" i="1"/>
  <c r="N8" i="1"/>
  <c r="L8" i="1"/>
  <c r="Q7" i="1"/>
  <c r="P7" i="1"/>
  <c r="O7" i="1"/>
  <c r="N7" i="1"/>
  <c r="L7" i="1"/>
  <c r="R6" i="1"/>
  <c r="Q6" i="1"/>
  <c r="P6" i="1"/>
  <c r="O6" i="1"/>
  <c r="S6" i="1" s="1"/>
  <c r="U6" i="1" s="1"/>
  <c r="N6" i="1"/>
  <c r="L6" i="1"/>
  <c r="M6" i="1" s="1"/>
  <c r="Q5" i="1"/>
  <c r="P5" i="1"/>
  <c r="O5" i="1"/>
  <c r="N5" i="1"/>
  <c r="M5" i="1"/>
  <c r="L5" i="1"/>
  <c r="R5" i="1" s="1"/>
  <c r="Q4" i="1"/>
  <c r="P4" i="1"/>
  <c r="O4" i="1"/>
  <c r="N4" i="1"/>
  <c r="L4" i="1"/>
  <c r="R3" i="1"/>
  <c r="Q3" i="1"/>
  <c r="P3" i="1"/>
  <c r="O3" i="1"/>
  <c r="N3" i="1"/>
  <c r="M3" i="1"/>
  <c r="L3" i="1"/>
  <c r="Q2" i="1"/>
  <c r="P2" i="1"/>
  <c r="O2" i="1"/>
  <c r="N2" i="1"/>
  <c r="L2" i="1"/>
  <c r="R2" i="1" s="1"/>
  <c r="Q6" i="4"/>
  <c r="E6" i="4"/>
  <c r="B6" i="4"/>
  <c r="B2" i="2"/>
  <c r="M6" i="4" s="1"/>
  <c r="A2" i="2"/>
  <c r="I6" i="4" s="1"/>
  <c r="M19" i="2" l="1"/>
  <c r="N19" i="2"/>
  <c r="M20" i="2"/>
  <c r="S194" i="1"/>
  <c r="U194" i="1" s="1"/>
  <c r="S217" i="1"/>
  <c r="U217" i="1" s="1"/>
  <c r="S224" i="1"/>
  <c r="U224" i="1" s="1"/>
  <c r="S253" i="1"/>
  <c r="U253" i="1" s="1"/>
  <c r="S273" i="1"/>
  <c r="U273" i="1" s="1"/>
  <c r="S283" i="1"/>
  <c r="U283" i="1" s="1"/>
  <c r="S313" i="1"/>
  <c r="U313" i="1" s="1"/>
  <c r="S357" i="1"/>
  <c r="U357" i="1" s="1"/>
  <c r="S374" i="1"/>
  <c r="U374" i="1" s="1"/>
  <c r="S422" i="1"/>
  <c r="U422" i="1" s="1"/>
  <c r="S487" i="1"/>
  <c r="U487" i="1" s="1"/>
  <c r="S21" i="1"/>
  <c r="U21" i="1" s="1"/>
  <c r="S42" i="1"/>
  <c r="U42" i="1" s="1"/>
  <c r="S62" i="1"/>
  <c r="U62" i="1" s="1"/>
  <c r="S86" i="1"/>
  <c r="U86" i="1" s="1"/>
  <c r="S105" i="1"/>
  <c r="U105" i="1" s="1"/>
  <c r="S142" i="1"/>
  <c r="U142" i="1" s="1"/>
  <c r="S180" i="1"/>
  <c r="U180" i="1" s="1"/>
  <c r="S210" i="1"/>
  <c r="U210" i="1" s="1"/>
  <c r="S215" i="1"/>
  <c r="U215" i="1" s="1"/>
  <c r="S262" i="1"/>
  <c r="U262" i="1" s="1"/>
  <c r="S264" i="1"/>
  <c r="U264" i="1" s="1"/>
  <c r="S276" i="1"/>
  <c r="U276" i="1" s="1"/>
  <c r="S381" i="1"/>
  <c r="U381" i="1" s="1"/>
  <c r="S413" i="1"/>
  <c r="U413" i="1" s="1"/>
  <c r="S478" i="1"/>
  <c r="U478" i="1" s="1"/>
  <c r="S490" i="1"/>
  <c r="U490" i="1" s="1"/>
  <c r="S33" i="1"/>
  <c r="U33" i="1" s="1"/>
  <c r="S40" i="1"/>
  <c r="U40" i="1" s="1"/>
  <c r="S133" i="1"/>
  <c r="U133" i="1" s="1"/>
  <c r="S140" i="1"/>
  <c r="U140" i="1" s="1"/>
  <c r="S154" i="1"/>
  <c r="U154" i="1" s="1"/>
  <c r="S161" i="1"/>
  <c r="U161" i="1" s="1"/>
  <c r="S203" i="1"/>
  <c r="U203" i="1" s="1"/>
  <c r="S222" i="1"/>
  <c r="U222" i="1" s="1"/>
  <c r="S348" i="1"/>
  <c r="U348" i="1" s="1"/>
  <c r="S369" i="1"/>
  <c r="U369" i="1" s="1"/>
  <c r="S406" i="1"/>
  <c r="U406" i="1" s="1"/>
  <c r="S427" i="1"/>
  <c r="U427" i="1" s="1"/>
  <c r="S457" i="1"/>
  <c r="U457" i="1" s="1"/>
  <c r="S15" i="1"/>
  <c r="U15" i="1" s="1"/>
  <c r="S404" i="1"/>
  <c r="U404" i="1" s="1"/>
  <c r="S24" i="1"/>
  <c r="U24" i="1" s="1"/>
  <c r="S68" i="1"/>
  <c r="U68" i="1" s="1"/>
  <c r="S82" i="1"/>
  <c r="U82" i="1" s="1"/>
  <c r="S111" i="1"/>
  <c r="U111" i="1" s="1"/>
  <c r="S344" i="1"/>
  <c r="U344" i="1" s="1"/>
  <c r="S358" i="1"/>
  <c r="U358" i="1" s="1"/>
  <c r="S402" i="1"/>
  <c r="U402" i="1" s="1"/>
  <c r="S423" i="1"/>
  <c r="U423" i="1" s="1"/>
  <c r="S437" i="1"/>
  <c r="U437" i="1" s="1"/>
  <c r="S439" i="1"/>
  <c r="U439" i="1" s="1"/>
  <c r="S13" i="1"/>
  <c r="U13" i="1" s="1"/>
  <c r="S49" i="1"/>
  <c r="U49" i="1" s="1"/>
  <c r="S99" i="1"/>
  <c r="U99" i="1" s="1"/>
  <c r="S131" i="1"/>
  <c r="U131" i="1" s="1"/>
  <c r="S155" i="1"/>
  <c r="U155" i="1" s="1"/>
  <c r="S209" i="1"/>
  <c r="U209" i="1" s="1"/>
  <c r="S218" i="1"/>
  <c r="U218" i="1" s="1"/>
  <c r="S254" i="1"/>
  <c r="U254" i="1" s="1"/>
  <c r="S373" i="1"/>
  <c r="U373" i="1" s="1"/>
  <c r="S387" i="1"/>
  <c r="U387" i="1" s="1"/>
  <c r="S416" i="1"/>
  <c r="U416" i="1" s="1"/>
  <c r="S5" i="1"/>
  <c r="U5" i="1" s="1"/>
  <c r="S10" i="1"/>
  <c r="U10" i="1" s="1"/>
  <c r="S36" i="1"/>
  <c r="U36" i="1" s="1"/>
  <c r="S51" i="1"/>
  <c r="U51" i="1" s="1"/>
  <c r="S346" i="1"/>
  <c r="U346" i="1" s="1"/>
  <c r="S121" i="1"/>
  <c r="U121" i="1" s="1"/>
  <c r="S247" i="1"/>
  <c r="U247" i="1" s="1"/>
  <c r="S41" i="1"/>
  <c r="U41" i="1" s="1"/>
  <c r="S141" i="1"/>
  <c r="U141" i="1" s="1"/>
  <c r="S216" i="1"/>
  <c r="U216" i="1" s="1"/>
  <c r="S314" i="1"/>
  <c r="U314" i="1" s="1"/>
  <c r="S319" i="1"/>
  <c r="U319" i="1" s="1"/>
  <c r="S354" i="1"/>
  <c r="U354" i="1" s="1"/>
  <c r="S428" i="1"/>
  <c r="U428" i="1" s="1"/>
  <c r="S460" i="1"/>
  <c r="U460" i="1" s="1"/>
  <c r="S477" i="1"/>
  <c r="U477" i="1" s="1"/>
  <c r="S500" i="1"/>
  <c r="U500" i="1" s="1"/>
  <c r="M275" i="1"/>
  <c r="S275" i="1" s="1"/>
  <c r="U275" i="1" s="1"/>
  <c r="R275" i="1"/>
  <c r="M130" i="1"/>
  <c r="S130" i="1" s="1"/>
  <c r="U130" i="1" s="1"/>
  <c r="R130" i="1"/>
  <c r="M260" i="1"/>
  <c r="S260" i="1" s="1"/>
  <c r="U260" i="1" s="1"/>
  <c r="R113" i="1"/>
  <c r="M113" i="1"/>
  <c r="S113" i="1" s="1"/>
  <c r="U113" i="1" s="1"/>
  <c r="M28" i="1"/>
  <c r="S28" i="1" s="1"/>
  <c r="U28" i="1" s="1"/>
  <c r="M106" i="1"/>
  <c r="S106" i="1" s="1"/>
  <c r="U106" i="1" s="1"/>
  <c r="R106" i="1"/>
  <c r="R192" i="1"/>
  <c r="M192" i="1"/>
  <c r="S192" i="1" s="1"/>
  <c r="U192" i="1" s="1"/>
  <c r="M444" i="1"/>
  <c r="S444" i="1" s="1"/>
  <c r="U444" i="1" s="1"/>
  <c r="M37" i="1"/>
  <c r="S37" i="1" s="1"/>
  <c r="U37" i="1" s="1"/>
  <c r="M85" i="1"/>
  <c r="S85" i="1" s="1"/>
  <c r="U85" i="1" s="1"/>
  <c r="R85" i="1"/>
  <c r="M269" i="1"/>
  <c r="S269" i="1" s="1"/>
  <c r="U269" i="1" s="1"/>
  <c r="R326" i="1"/>
  <c r="M326" i="1"/>
  <c r="S326" i="1" s="1"/>
  <c r="U326" i="1" s="1"/>
  <c r="M337" i="1"/>
  <c r="S337" i="1" s="1"/>
  <c r="U337" i="1" s="1"/>
  <c r="M379" i="1"/>
  <c r="S379" i="1" s="1"/>
  <c r="U379" i="1" s="1"/>
  <c r="M398" i="1"/>
  <c r="S398" i="1" s="1"/>
  <c r="U398" i="1" s="1"/>
  <c r="R398" i="1"/>
  <c r="S79" i="1"/>
  <c r="U79" i="1" s="1"/>
  <c r="M92" i="1"/>
  <c r="S92" i="1" s="1"/>
  <c r="U92" i="1" s="1"/>
  <c r="M199" i="1"/>
  <c r="S199" i="1" s="1"/>
  <c r="U199" i="1" s="1"/>
  <c r="S377" i="1"/>
  <c r="U377" i="1" s="1"/>
  <c r="S66" i="1"/>
  <c r="U66" i="1" s="1"/>
  <c r="R83" i="1"/>
  <c r="M83" i="1"/>
  <c r="S83" i="1" s="1"/>
  <c r="U83" i="1" s="1"/>
  <c r="R124" i="1"/>
  <c r="M124" i="1"/>
  <c r="S124" i="1" s="1"/>
  <c r="U124" i="1" s="1"/>
  <c r="M151" i="1"/>
  <c r="S151" i="1" s="1"/>
  <c r="U151" i="1" s="1"/>
  <c r="R151" i="1"/>
  <c r="M169" i="1"/>
  <c r="S169" i="1" s="1"/>
  <c r="U169" i="1" s="1"/>
  <c r="R169" i="1"/>
  <c r="S197" i="1"/>
  <c r="U197" i="1" s="1"/>
  <c r="S231" i="1"/>
  <c r="U231" i="1" s="1"/>
  <c r="M267" i="1"/>
  <c r="S267" i="1" s="1"/>
  <c r="U267" i="1" s="1"/>
  <c r="M292" i="1"/>
  <c r="S292" i="1" s="1"/>
  <c r="U292" i="1" s="1"/>
  <c r="M236" i="1"/>
  <c r="S236" i="1" s="1"/>
  <c r="U236" i="1" s="1"/>
  <c r="R23" i="1"/>
  <c r="M23" i="1"/>
  <c r="S23" i="1" s="1"/>
  <c r="U23" i="1" s="1"/>
  <c r="M97" i="1"/>
  <c r="S97" i="1" s="1"/>
  <c r="U97" i="1" s="1"/>
  <c r="S450" i="1"/>
  <c r="U450" i="1" s="1"/>
  <c r="R240" i="1"/>
  <c r="M240" i="1"/>
  <c r="S240" i="1" s="1"/>
  <c r="U240" i="1" s="1"/>
  <c r="R452" i="1"/>
  <c r="M452" i="1"/>
  <c r="S452" i="1" s="1"/>
  <c r="U452" i="1" s="1"/>
  <c r="R8" i="1"/>
  <c r="M8" i="1"/>
  <c r="S8" i="1" s="1"/>
  <c r="U8" i="1" s="1"/>
  <c r="R44" i="1"/>
  <c r="M44" i="1"/>
  <c r="S44" i="1" s="1"/>
  <c r="U44" i="1" s="1"/>
  <c r="M76" i="1"/>
  <c r="S76" i="1" s="1"/>
  <c r="U76" i="1" s="1"/>
  <c r="M67" i="1"/>
  <c r="S67" i="1" s="1"/>
  <c r="U67" i="1" s="1"/>
  <c r="R67" i="1"/>
  <c r="M128" i="1"/>
  <c r="S128" i="1" s="1"/>
  <c r="U128" i="1" s="1"/>
  <c r="R128" i="1"/>
  <c r="R285" i="1"/>
  <c r="M285" i="1"/>
  <c r="S285" i="1" s="1"/>
  <c r="U285" i="1" s="1"/>
  <c r="M32" i="1"/>
  <c r="S32" i="1" s="1"/>
  <c r="U32" i="1" s="1"/>
  <c r="R32" i="1"/>
  <c r="M65" i="1"/>
  <c r="S65" i="1" s="1"/>
  <c r="U65" i="1" s="1"/>
  <c r="R87" i="1"/>
  <c r="M87" i="1"/>
  <c r="S87" i="1" s="1"/>
  <c r="U87" i="1" s="1"/>
  <c r="M117" i="1"/>
  <c r="S117" i="1" s="1"/>
  <c r="U117" i="1" s="1"/>
  <c r="M119" i="1"/>
  <c r="S119" i="1" s="1"/>
  <c r="U119" i="1" s="1"/>
  <c r="R119" i="1"/>
  <c r="M126" i="1"/>
  <c r="S126" i="1" s="1"/>
  <c r="U126" i="1" s="1"/>
  <c r="R126" i="1"/>
  <c r="M226" i="1"/>
  <c r="S226" i="1" s="1"/>
  <c r="U226" i="1" s="1"/>
  <c r="R226" i="1"/>
  <c r="R160" i="1"/>
  <c r="M160" i="1"/>
  <c r="S160" i="1" s="1"/>
  <c r="U160" i="1" s="1"/>
  <c r="M12" i="1"/>
  <c r="S12" i="1" s="1"/>
  <c r="U12" i="1" s="1"/>
  <c r="R12" i="1"/>
  <c r="R78" i="1"/>
  <c r="M78" i="1"/>
  <c r="S78" i="1" s="1"/>
  <c r="U78" i="1" s="1"/>
  <c r="R110" i="1"/>
  <c r="M110" i="1"/>
  <c r="S110" i="1" s="1"/>
  <c r="U110" i="1" s="1"/>
  <c r="M63" i="1"/>
  <c r="S63" i="1" s="1"/>
  <c r="U63" i="1" s="1"/>
  <c r="R145" i="1"/>
  <c r="M383" i="1"/>
  <c r="S383" i="1" s="1"/>
  <c r="U383" i="1" s="1"/>
  <c r="R383" i="1"/>
  <c r="M414" i="1"/>
  <c r="S414" i="1" s="1"/>
  <c r="U414" i="1" s="1"/>
  <c r="R70" i="1"/>
  <c r="M70" i="1"/>
  <c r="S70" i="1" s="1"/>
  <c r="U70" i="1" s="1"/>
  <c r="R271" i="1"/>
  <c r="M271" i="1"/>
  <c r="S271" i="1" s="1"/>
  <c r="U271" i="1" s="1"/>
  <c r="R446" i="1"/>
  <c r="M446" i="1"/>
  <c r="S446" i="1" s="1"/>
  <c r="U446" i="1" s="1"/>
  <c r="R135" i="1"/>
  <c r="M135" i="1"/>
  <c r="S135" i="1" s="1"/>
  <c r="U135" i="1" s="1"/>
  <c r="M81" i="1"/>
  <c r="S81" i="1" s="1"/>
  <c r="U81" i="1" s="1"/>
  <c r="R81" i="1"/>
  <c r="R120" i="1"/>
  <c r="M120" i="1"/>
  <c r="S120" i="1" s="1"/>
  <c r="U120" i="1" s="1"/>
  <c r="M14" i="1"/>
  <c r="S14" i="1" s="1"/>
  <c r="U14" i="1" s="1"/>
  <c r="R14" i="1"/>
  <c r="S90" i="1"/>
  <c r="U90" i="1" s="1"/>
  <c r="R107" i="1"/>
  <c r="M107" i="1"/>
  <c r="S107" i="1" s="1"/>
  <c r="U107" i="1" s="1"/>
  <c r="R111" i="1"/>
  <c r="S114" i="1"/>
  <c r="U114" i="1" s="1"/>
  <c r="S147" i="1"/>
  <c r="U147" i="1" s="1"/>
  <c r="M488" i="1"/>
  <c r="S488" i="1" s="1"/>
  <c r="U488" i="1" s="1"/>
  <c r="R488" i="1"/>
  <c r="S3" i="1"/>
  <c r="U3" i="1" s="1"/>
  <c r="S31" i="1"/>
  <c r="U31" i="1" s="1"/>
  <c r="R100" i="1"/>
  <c r="S138" i="1"/>
  <c r="U138" i="1" s="1"/>
  <c r="R220" i="1"/>
  <c r="M220" i="1"/>
  <c r="S220" i="1" s="1"/>
  <c r="U220" i="1" s="1"/>
  <c r="S356" i="1"/>
  <c r="U356" i="1" s="1"/>
  <c r="S408" i="1"/>
  <c r="U408" i="1" s="1"/>
  <c r="R180" i="1"/>
  <c r="M311" i="1"/>
  <c r="S311" i="1" s="1"/>
  <c r="U311" i="1" s="1"/>
  <c r="R311" i="1"/>
  <c r="M7" i="1"/>
  <c r="S7" i="1" s="1"/>
  <c r="U7" i="1" s="1"/>
  <c r="R7" i="1"/>
  <c r="M177" i="1"/>
  <c r="S177" i="1" s="1"/>
  <c r="U177" i="1" s="1"/>
  <c r="M307" i="1"/>
  <c r="S307" i="1" s="1"/>
  <c r="U307" i="1" s="1"/>
  <c r="R307" i="1"/>
  <c r="R309" i="1"/>
  <c r="M309" i="1"/>
  <c r="S309" i="1" s="1"/>
  <c r="U309" i="1" s="1"/>
  <c r="M332" i="1"/>
  <c r="S332" i="1" s="1"/>
  <c r="U332" i="1" s="1"/>
  <c r="M454" i="1"/>
  <c r="S454" i="1" s="1"/>
  <c r="U454" i="1" s="1"/>
  <c r="R454" i="1"/>
  <c r="M2" i="1"/>
  <c r="M53" i="1"/>
  <c r="S53" i="1" s="1"/>
  <c r="U53" i="1" s="1"/>
  <c r="R53" i="1"/>
  <c r="M60" i="1"/>
  <c r="S60" i="1" s="1"/>
  <c r="U60" i="1" s="1"/>
  <c r="R60" i="1"/>
  <c r="M69" i="1"/>
  <c r="S69" i="1" s="1"/>
  <c r="U69" i="1" s="1"/>
  <c r="M94" i="1"/>
  <c r="S94" i="1" s="1"/>
  <c r="U94" i="1" s="1"/>
  <c r="M132" i="1"/>
  <c r="S132" i="1" s="1"/>
  <c r="U132" i="1" s="1"/>
  <c r="M146" i="1"/>
  <c r="S146" i="1" s="1"/>
  <c r="U146" i="1" s="1"/>
  <c r="M162" i="1"/>
  <c r="S162" i="1" s="1"/>
  <c r="U162" i="1" s="1"/>
  <c r="M179" i="1"/>
  <c r="S179" i="1" s="1"/>
  <c r="U179" i="1" s="1"/>
  <c r="R179" i="1"/>
  <c r="M207" i="1"/>
  <c r="S207" i="1" s="1"/>
  <c r="U207" i="1" s="1"/>
  <c r="R207" i="1"/>
  <c r="M233" i="1"/>
  <c r="S233" i="1" s="1"/>
  <c r="U233" i="1" s="1"/>
  <c r="M255" i="1"/>
  <c r="S255" i="1" s="1"/>
  <c r="U255" i="1" s="1"/>
  <c r="M334" i="1"/>
  <c r="S334" i="1" s="1"/>
  <c r="U334" i="1" s="1"/>
  <c r="M359" i="1"/>
  <c r="S359" i="1" s="1"/>
  <c r="U359" i="1" s="1"/>
  <c r="R359" i="1"/>
  <c r="R361" i="1"/>
  <c r="M361" i="1"/>
  <c r="S361" i="1" s="1"/>
  <c r="U361" i="1" s="1"/>
  <c r="M34" i="1"/>
  <c r="S34" i="1" s="1"/>
  <c r="U34" i="1" s="1"/>
  <c r="S39" i="1"/>
  <c r="U39" i="1" s="1"/>
  <c r="M164" i="1"/>
  <c r="S164" i="1" s="1"/>
  <c r="U164" i="1" s="1"/>
  <c r="R170" i="1"/>
  <c r="M170" i="1"/>
  <c r="S170" i="1" s="1"/>
  <c r="U170" i="1" s="1"/>
  <c r="M196" i="1"/>
  <c r="S196" i="1" s="1"/>
  <c r="U196" i="1" s="1"/>
  <c r="M205" i="1"/>
  <c r="S205" i="1" s="1"/>
  <c r="U205" i="1" s="1"/>
  <c r="M211" i="1"/>
  <c r="S211" i="1" s="1"/>
  <c r="U211" i="1" s="1"/>
  <c r="M274" i="1"/>
  <c r="S274" i="1" s="1"/>
  <c r="U274" i="1" s="1"/>
  <c r="R274" i="1"/>
  <c r="M349" i="1"/>
  <c r="S349" i="1" s="1"/>
  <c r="U349" i="1" s="1"/>
  <c r="R349" i="1"/>
  <c r="M351" i="1"/>
  <c r="S351" i="1" s="1"/>
  <c r="U351" i="1" s="1"/>
  <c r="M353" i="1"/>
  <c r="S353" i="1" s="1"/>
  <c r="U353" i="1" s="1"/>
  <c r="R353" i="1"/>
  <c r="M405" i="1"/>
  <c r="S405" i="1" s="1"/>
  <c r="U405" i="1" s="1"/>
  <c r="R405" i="1"/>
  <c r="M409" i="1"/>
  <c r="S409" i="1" s="1"/>
  <c r="U409" i="1" s="1"/>
  <c r="R409" i="1"/>
  <c r="R411" i="1"/>
  <c r="M411" i="1"/>
  <c r="S411" i="1" s="1"/>
  <c r="U411" i="1" s="1"/>
  <c r="M475" i="1"/>
  <c r="S475" i="1" s="1"/>
  <c r="U475" i="1" s="1"/>
  <c r="R475" i="1"/>
  <c r="M479" i="1"/>
  <c r="S479" i="1" s="1"/>
  <c r="U479" i="1" s="1"/>
  <c r="M4" i="1"/>
  <c r="S4" i="1" s="1"/>
  <c r="U4" i="1" s="1"/>
  <c r="R4" i="1"/>
  <c r="M18" i="1"/>
  <c r="S18" i="1" s="1"/>
  <c r="U18" i="1" s="1"/>
  <c r="R18" i="1"/>
  <c r="M73" i="1"/>
  <c r="S73" i="1" s="1"/>
  <c r="U73" i="1" s="1"/>
  <c r="M157" i="1"/>
  <c r="S157" i="1" s="1"/>
  <c r="U157" i="1" s="1"/>
  <c r="S198" i="1"/>
  <c r="U198" i="1" s="1"/>
  <c r="S246" i="1"/>
  <c r="U246" i="1" s="1"/>
  <c r="M248" i="1"/>
  <c r="S248" i="1" s="1"/>
  <c r="U248" i="1" s="1"/>
  <c r="M257" i="1"/>
  <c r="S257" i="1" s="1"/>
  <c r="U257" i="1" s="1"/>
  <c r="M272" i="1"/>
  <c r="S272" i="1" s="1"/>
  <c r="U272" i="1" s="1"/>
  <c r="M298" i="1"/>
  <c r="S298" i="1" s="1"/>
  <c r="U298" i="1" s="1"/>
  <c r="S330" i="1"/>
  <c r="U330" i="1" s="1"/>
  <c r="M407" i="1"/>
  <c r="S407" i="1" s="1"/>
  <c r="U407" i="1" s="1"/>
  <c r="M425" i="1"/>
  <c r="S425" i="1" s="1"/>
  <c r="U425" i="1" s="1"/>
  <c r="R485" i="1"/>
  <c r="M485" i="1"/>
  <c r="S485" i="1" s="1"/>
  <c r="U485" i="1" s="1"/>
  <c r="M11" i="1"/>
  <c r="S11" i="1" s="1"/>
  <c r="U11" i="1" s="1"/>
  <c r="R75" i="1"/>
  <c r="M75" i="1"/>
  <c r="S75" i="1" s="1"/>
  <c r="U75" i="1" s="1"/>
  <c r="M91" i="1"/>
  <c r="S91" i="1" s="1"/>
  <c r="U91" i="1" s="1"/>
  <c r="M127" i="1"/>
  <c r="S127" i="1" s="1"/>
  <c r="U127" i="1" s="1"/>
  <c r="R144" i="1"/>
  <c r="M189" i="1"/>
  <c r="S189" i="1" s="1"/>
  <c r="U189" i="1" s="1"/>
  <c r="S219" i="1"/>
  <c r="U219" i="1" s="1"/>
  <c r="M230" i="1"/>
  <c r="S230" i="1" s="1"/>
  <c r="U230" i="1" s="1"/>
  <c r="M250" i="1"/>
  <c r="S250" i="1" s="1"/>
  <c r="U250" i="1" s="1"/>
  <c r="R282" i="1"/>
  <c r="M282" i="1"/>
  <c r="S282" i="1" s="1"/>
  <c r="U282" i="1" s="1"/>
  <c r="M291" i="1"/>
  <c r="S291" i="1" s="1"/>
  <c r="U291" i="1" s="1"/>
  <c r="M300" i="1"/>
  <c r="S300" i="1" s="1"/>
  <c r="U300" i="1" s="1"/>
  <c r="R300" i="1"/>
  <c r="M441" i="1"/>
  <c r="S441" i="1" s="1"/>
  <c r="U441" i="1" s="1"/>
  <c r="M489" i="1"/>
  <c r="S489" i="1" s="1"/>
  <c r="U489" i="1" s="1"/>
  <c r="R489" i="1"/>
  <c r="M57" i="1"/>
  <c r="S57" i="1" s="1"/>
  <c r="U57" i="1" s="1"/>
  <c r="M125" i="1"/>
  <c r="S125" i="1" s="1"/>
  <c r="U125" i="1" s="1"/>
  <c r="R129" i="1"/>
  <c r="M129" i="1"/>
  <c r="S129" i="1" s="1"/>
  <c r="U129" i="1" s="1"/>
  <c r="M174" i="1"/>
  <c r="S174" i="1" s="1"/>
  <c r="U174" i="1" s="1"/>
  <c r="R187" i="1"/>
  <c r="S252" i="1"/>
  <c r="U252" i="1" s="1"/>
  <c r="M278" i="1"/>
  <c r="S278" i="1" s="1"/>
  <c r="U278" i="1" s="1"/>
  <c r="S302" i="1"/>
  <c r="U302" i="1" s="1"/>
  <c r="S312" i="1"/>
  <c r="U312" i="1" s="1"/>
  <c r="M323" i="1"/>
  <c r="S323" i="1" s="1"/>
  <c r="U323" i="1" s="1"/>
  <c r="R347" i="1"/>
  <c r="M347" i="1"/>
  <c r="S347" i="1" s="1"/>
  <c r="U347" i="1" s="1"/>
  <c r="M372" i="1"/>
  <c r="S372" i="1" s="1"/>
  <c r="U372" i="1" s="1"/>
  <c r="R372" i="1"/>
  <c r="M376" i="1"/>
  <c r="S376" i="1" s="1"/>
  <c r="U376" i="1" s="1"/>
  <c r="R376" i="1"/>
  <c r="M399" i="1"/>
  <c r="S399" i="1" s="1"/>
  <c r="U399" i="1" s="1"/>
  <c r="R401" i="1"/>
  <c r="M401" i="1"/>
  <c r="S401" i="1" s="1"/>
  <c r="U401" i="1" s="1"/>
  <c r="M467" i="1"/>
  <c r="S467" i="1" s="1"/>
  <c r="U467" i="1" s="1"/>
  <c r="R9" i="1"/>
  <c r="R101" i="1"/>
  <c r="M109" i="1"/>
  <c r="S109" i="1" s="1"/>
  <c r="U109" i="1" s="1"/>
  <c r="R109" i="1"/>
  <c r="M143" i="1"/>
  <c r="S143" i="1" s="1"/>
  <c r="U143" i="1" s="1"/>
  <c r="S159" i="1"/>
  <c r="U159" i="1" s="1"/>
  <c r="R181" i="1"/>
  <c r="M239" i="1"/>
  <c r="S239" i="1" s="1"/>
  <c r="U239" i="1" s="1"/>
  <c r="R319" i="1"/>
  <c r="S325" i="1"/>
  <c r="U325" i="1" s="1"/>
  <c r="R342" i="1"/>
  <c r="S393" i="1"/>
  <c r="U393" i="1" s="1"/>
  <c r="M397" i="1"/>
  <c r="S397" i="1" s="1"/>
  <c r="U397" i="1" s="1"/>
  <c r="R397" i="1"/>
  <c r="M465" i="1"/>
  <c r="S465" i="1" s="1"/>
  <c r="U465" i="1" s="1"/>
  <c r="R465" i="1"/>
  <c r="M495" i="1"/>
  <c r="S495" i="1" s="1"/>
  <c r="U495" i="1" s="1"/>
  <c r="R495" i="1"/>
  <c r="M225" i="1"/>
  <c r="S225" i="1" s="1"/>
  <c r="U225" i="1" s="1"/>
  <c r="R225" i="1"/>
  <c r="S243" i="1"/>
  <c r="U243" i="1" s="1"/>
  <c r="M52" i="1"/>
  <c r="S52" i="1" s="1"/>
  <c r="U52" i="1" s="1"/>
  <c r="R52" i="1"/>
  <c r="M102" i="1"/>
  <c r="S102" i="1" s="1"/>
  <c r="U102" i="1" s="1"/>
  <c r="R102" i="1"/>
  <c r="S163" i="1"/>
  <c r="U163" i="1" s="1"/>
  <c r="M184" i="1"/>
  <c r="S184" i="1" s="1"/>
  <c r="U184" i="1" s="1"/>
  <c r="R184" i="1"/>
  <c r="M186" i="1"/>
  <c r="S186" i="1" s="1"/>
  <c r="U186" i="1" s="1"/>
  <c r="R186" i="1"/>
  <c r="R208" i="1"/>
  <c r="M208" i="1"/>
  <c r="S208" i="1" s="1"/>
  <c r="U208" i="1" s="1"/>
  <c r="S212" i="1"/>
  <c r="U212" i="1" s="1"/>
  <c r="M223" i="1"/>
  <c r="S223" i="1" s="1"/>
  <c r="U223" i="1" s="1"/>
  <c r="R276" i="1"/>
  <c r="M368" i="1"/>
  <c r="S368" i="1" s="1"/>
  <c r="U368" i="1" s="1"/>
  <c r="R368" i="1"/>
  <c r="M389" i="1"/>
  <c r="S389" i="1" s="1"/>
  <c r="U389" i="1" s="1"/>
  <c r="R389" i="1"/>
  <c r="M463" i="1"/>
  <c r="S463" i="1" s="1"/>
  <c r="U463" i="1" s="1"/>
  <c r="S491" i="1"/>
  <c r="U491" i="1" s="1"/>
  <c r="M204" i="1"/>
  <c r="S204" i="1" s="1"/>
  <c r="U204" i="1" s="1"/>
  <c r="S206" i="1"/>
  <c r="U206" i="1" s="1"/>
  <c r="S245" i="1"/>
  <c r="U245" i="1" s="1"/>
  <c r="M288" i="1"/>
  <c r="S288" i="1" s="1"/>
  <c r="U288" i="1" s="1"/>
  <c r="M295" i="1"/>
  <c r="S295" i="1" s="1"/>
  <c r="U295" i="1" s="1"/>
  <c r="M297" i="1"/>
  <c r="S297" i="1" s="1"/>
  <c r="U297" i="1" s="1"/>
  <c r="M316" i="1"/>
  <c r="S316" i="1" s="1"/>
  <c r="U316" i="1" s="1"/>
  <c r="M318" i="1"/>
  <c r="S318" i="1" s="1"/>
  <c r="U318" i="1" s="1"/>
  <c r="S343" i="1"/>
  <c r="U343" i="1" s="1"/>
  <c r="M366" i="1"/>
  <c r="S366" i="1" s="1"/>
  <c r="U366" i="1" s="1"/>
  <c r="S410" i="1"/>
  <c r="U410" i="1" s="1"/>
  <c r="M418" i="1"/>
  <c r="S418" i="1" s="1"/>
  <c r="U418" i="1" s="1"/>
  <c r="R418" i="1"/>
  <c r="M420" i="1"/>
  <c r="S420" i="1" s="1"/>
  <c r="U420" i="1" s="1"/>
  <c r="M430" i="1"/>
  <c r="S430" i="1" s="1"/>
  <c r="U430" i="1" s="1"/>
  <c r="R430" i="1"/>
  <c r="M461" i="1"/>
  <c r="S461" i="1" s="1"/>
  <c r="U461" i="1" s="1"/>
  <c r="R461" i="1"/>
  <c r="R487" i="1"/>
  <c r="S148" i="1"/>
  <c r="U148" i="1" s="1"/>
  <c r="R432" i="1"/>
  <c r="M432" i="1"/>
  <c r="S432" i="1" s="1"/>
  <c r="U432" i="1" s="1"/>
  <c r="R443" i="1"/>
  <c r="M443" i="1"/>
  <c r="S443" i="1" s="1"/>
  <c r="U443" i="1" s="1"/>
  <c r="S445" i="1"/>
  <c r="U445" i="1" s="1"/>
  <c r="S88" i="1"/>
  <c r="U88" i="1" s="1"/>
  <c r="S93" i="1"/>
  <c r="U93" i="1" s="1"/>
  <c r="M249" i="1"/>
  <c r="S249" i="1" s="1"/>
  <c r="U249" i="1" s="1"/>
  <c r="S277" i="1"/>
  <c r="U277" i="1" s="1"/>
  <c r="M306" i="1"/>
  <c r="S306" i="1" s="1"/>
  <c r="U306" i="1" s="1"/>
  <c r="M363" i="1"/>
  <c r="S363" i="1" s="1"/>
  <c r="U363" i="1" s="1"/>
  <c r="R363" i="1"/>
  <c r="M449" i="1"/>
  <c r="S449" i="1" s="1"/>
  <c r="U449" i="1" s="1"/>
  <c r="M25" i="1"/>
  <c r="S25" i="1" s="1"/>
  <c r="U25" i="1" s="1"/>
  <c r="R25" i="1"/>
  <c r="S30" i="1"/>
  <c r="U30" i="1" s="1"/>
  <c r="M168" i="1"/>
  <c r="S168" i="1" s="1"/>
  <c r="U168" i="1" s="1"/>
  <c r="M284" i="1"/>
  <c r="S284" i="1" s="1"/>
  <c r="U284" i="1" s="1"/>
  <c r="M308" i="1"/>
  <c r="S308" i="1" s="1"/>
  <c r="U308" i="1" s="1"/>
  <c r="S315" i="1"/>
  <c r="U315" i="1" s="1"/>
  <c r="M331" i="1"/>
  <c r="S331" i="1" s="1"/>
  <c r="U331" i="1" s="1"/>
  <c r="M382" i="1"/>
  <c r="S382" i="1" s="1"/>
  <c r="U382" i="1" s="1"/>
  <c r="M384" i="1"/>
  <c r="S384" i="1" s="1"/>
  <c r="U384" i="1" s="1"/>
  <c r="R384" i="1"/>
  <c r="S388" i="1"/>
  <c r="U388" i="1" s="1"/>
  <c r="S464" i="1"/>
  <c r="U464" i="1" s="1"/>
  <c r="M470" i="1"/>
  <c r="S470" i="1" s="1"/>
  <c r="U470" i="1" s="1"/>
  <c r="M499" i="1"/>
  <c r="S499" i="1" s="1"/>
  <c r="U499" i="1" s="1"/>
  <c r="S501" i="1"/>
  <c r="U501" i="1" s="1"/>
  <c r="M56" i="1"/>
  <c r="S56" i="1" s="1"/>
  <c r="U56" i="1" s="1"/>
  <c r="M72" i="1"/>
  <c r="S72" i="1" s="1"/>
  <c r="U72" i="1" s="1"/>
  <c r="M116" i="1"/>
  <c r="S116" i="1" s="1"/>
  <c r="U116" i="1" s="1"/>
  <c r="R116" i="1"/>
  <c r="M173" i="1"/>
  <c r="S173" i="1" s="1"/>
  <c r="U173" i="1" s="1"/>
  <c r="S371" i="1"/>
  <c r="U371" i="1" s="1"/>
  <c r="S375" i="1"/>
  <c r="U375" i="1" s="1"/>
  <c r="M392" i="1"/>
  <c r="S392" i="1" s="1"/>
  <c r="U392" i="1" s="1"/>
  <c r="M394" i="1"/>
  <c r="S394" i="1" s="1"/>
  <c r="U394" i="1" s="1"/>
  <c r="R394" i="1"/>
  <c r="S436" i="1"/>
  <c r="U436" i="1" s="1"/>
  <c r="S483" i="1"/>
  <c r="U483" i="1" s="1"/>
  <c r="M214" i="1"/>
  <c r="S214" i="1" s="1"/>
  <c r="U214" i="1" s="1"/>
  <c r="R214" i="1"/>
  <c r="S396" i="1"/>
  <c r="U396" i="1" s="1"/>
  <c r="S424" i="1"/>
  <c r="U424" i="1" s="1"/>
  <c r="S156" i="1"/>
  <c r="U156" i="1" s="1"/>
  <c r="S266" i="1"/>
  <c r="U266" i="1" s="1"/>
  <c r="M281" i="1"/>
  <c r="S281" i="1" s="1"/>
  <c r="U281" i="1" s="1"/>
  <c r="M329" i="1"/>
  <c r="S329" i="1" s="1"/>
  <c r="U329" i="1" s="1"/>
  <c r="S385" i="1"/>
  <c r="U385" i="1" s="1"/>
  <c r="S426" i="1"/>
  <c r="U426" i="1" s="1"/>
  <c r="S433" i="1"/>
  <c r="U433" i="1" s="1"/>
  <c r="R435" i="1"/>
  <c r="M435" i="1"/>
  <c r="S435" i="1" s="1"/>
  <c r="U435" i="1" s="1"/>
  <c r="M462" i="1"/>
  <c r="S462" i="1" s="1"/>
  <c r="U462" i="1" s="1"/>
  <c r="R462" i="1"/>
  <c r="M466" i="1"/>
  <c r="S466" i="1" s="1"/>
  <c r="U466" i="1" s="1"/>
  <c r="R466" i="1"/>
  <c r="S355" i="1"/>
  <c r="U355" i="1" s="1"/>
  <c r="S419" i="1"/>
  <c r="U419" i="1" s="1"/>
  <c r="R448" i="1"/>
  <c r="M448" i="1"/>
  <c r="S448" i="1" s="1"/>
  <c r="U448" i="1" s="1"/>
  <c r="S459" i="1"/>
  <c r="U459" i="1" s="1"/>
  <c r="S472" i="1"/>
  <c r="U472" i="1" s="1"/>
  <c r="S496" i="1"/>
  <c r="U496" i="1" s="1"/>
  <c r="S328" i="1"/>
  <c r="U328" i="1" s="1"/>
  <c r="M299" i="1"/>
  <c r="S299" i="1" s="1"/>
  <c r="U299" i="1" s="1"/>
  <c r="S403" i="1"/>
  <c r="U403" i="1" s="1"/>
  <c r="M429" i="1"/>
  <c r="S429" i="1" s="1"/>
  <c r="U429" i="1" s="1"/>
  <c r="M440" i="1"/>
  <c r="S440" i="1" s="1"/>
  <c r="U440" i="1" s="1"/>
  <c r="R440" i="1"/>
  <c r="M493" i="1"/>
  <c r="S493" i="1" s="1"/>
  <c r="U493" i="1" s="1"/>
  <c r="R339" i="1"/>
  <c r="R370" i="1"/>
  <c r="R386" i="1"/>
  <c r="S390" i="1"/>
  <c r="U390" i="1" s="1"/>
  <c r="R419" i="1"/>
  <c r="R469" i="1"/>
  <c r="R496" i="1"/>
  <c r="S333" i="1"/>
  <c r="U333" i="1" s="1"/>
  <c r="M391" i="1"/>
  <c r="S391" i="1" s="1"/>
  <c r="U391" i="1" s="1"/>
  <c r="R391" i="1"/>
  <c r="M21" i="2" l="1"/>
  <c r="N20" i="2"/>
  <c r="T499" i="1"/>
  <c r="T480" i="1"/>
  <c r="T477" i="1"/>
  <c r="T461" i="1"/>
  <c r="T458" i="1"/>
  <c r="T439" i="1"/>
  <c r="T420" i="1"/>
  <c r="T401" i="1"/>
  <c r="T382" i="1"/>
  <c r="T379" i="1"/>
  <c r="T363" i="1"/>
  <c r="T360" i="1"/>
  <c r="T341" i="1"/>
  <c r="T322" i="1"/>
  <c r="T303" i="1"/>
  <c r="T296" i="1"/>
  <c r="T289" i="1"/>
  <c r="T282" i="1"/>
  <c r="T275" i="1"/>
  <c r="T268" i="1"/>
  <c r="T261" i="1"/>
  <c r="T254" i="1"/>
  <c r="T247" i="1"/>
  <c r="T240" i="1"/>
  <c r="T233" i="1"/>
  <c r="T484" i="1"/>
  <c r="T481" i="1"/>
  <c r="T478" i="1"/>
  <c r="T475" i="1"/>
  <c r="T469" i="1"/>
  <c r="T437" i="1"/>
  <c r="T434" i="1"/>
  <c r="T428" i="1"/>
  <c r="T410" i="1"/>
  <c r="T381" i="1"/>
  <c r="T378" i="1"/>
  <c r="T375" i="1"/>
  <c r="T372" i="1"/>
  <c r="T369" i="1"/>
  <c r="T337" i="1"/>
  <c r="T464" i="1"/>
  <c r="T417" i="1"/>
  <c r="T414" i="1"/>
  <c r="T402" i="1"/>
  <c r="T399" i="1"/>
  <c r="T396" i="1"/>
  <c r="T367" i="1"/>
  <c r="T364" i="1"/>
  <c r="T361" i="1"/>
  <c r="T352" i="1"/>
  <c r="T269" i="1"/>
  <c r="T256" i="1"/>
  <c r="T488" i="1"/>
  <c r="T451" i="1"/>
  <c r="T438" i="1"/>
  <c r="T391" i="1"/>
  <c r="T358" i="1"/>
  <c r="T347" i="1"/>
  <c r="T342" i="1"/>
  <c r="T334" i="1"/>
  <c r="T331" i="1"/>
  <c r="T320" i="1"/>
  <c r="T314" i="1"/>
  <c r="T311" i="1"/>
  <c r="T272" i="1"/>
  <c r="T263" i="1"/>
  <c r="T257" i="1"/>
  <c r="T251" i="1"/>
  <c r="T239" i="1"/>
  <c r="T217" i="1"/>
  <c r="T198" i="1"/>
  <c r="T195" i="1"/>
  <c r="T179" i="1"/>
  <c r="T176" i="1"/>
  <c r="T494" i="1"/>
  <c r="T486" i="1"/>
  <c r="T470" i="1"/>
  <c r="T465" i="1"/>
  <c r="T460" i="1"/>
  <c r="T436" i="1"/>
  <c r="T433" i="1"/>
  <c r="T425" i="1"/>
  <c r="T404" i="1"/>
  <c r="T374" i="1"/>
  <c r="T371" i="1"/>
  <c r="T353" i="1"/>
  <c r="T340" i="1"/>
  <c r="T306" i="1"/>
  <c r="T279" i="1"/>
  <c r="T224" i="1"/>
  <c r="T205" i="1"/>
  <c r="T202" i="1"/>
  <c r="T186" i="1"/>
  <c r="T183" i="1"/>
  <c r="T164" i="1"/>
  <c r="T145" i="1"/>
  <c r="T126" i="1"/>
  <c r="T107" i="1"/>
  <c r="T104" i="1"/>
  <c r="T88" i="1"/>
  <c r="T85" i="1"/>
  <c r="T66" i="1"/>
  <c r="T47" i="1"/>
  <c r="T28" i="1"/>
  <c r="T12" i="1"/>
  <c r="T5" i="1"/>
  <c r="T473" i="1"/>
  <c r="T449" i="1"/>
  <c r="T444" i="1"/>
  <c r="T412" i="1"/>
  <c r="T397" i="1"/>
  <c r="T387" i="1"/>
  <c r="T366" i="1"/>
  <c r="T356" i="1"/>
  <c r="T348" i="1"/>
  <c r="T332" i="1"/>
  <c r="T318" i="1"/>
  <c r="T315" i="1"/>
  <c r="T309" i="1"/>
  <c r="T285" i="1"/>
  <c r="T276" i="1"/>
  <c r="T273" i="1"/>
  <c r="T270" i="1"/>
  <c r="T267" i="1"/>
  <c r="T258" i="1"/>
  <c r="T255" i="1"/>
  <c r="T252" i="1"/>
  <c r="T249" i="1"/>
  <c r="T246" i="1"/>
  <c r="T243" i="1"/>
  <c r="T221" i="1"/>
  <c r="T218" i="1"/>
  <c r="T199" i="1"/>
  <c r="T180" i="1"/>
  <c r="T161" i="1"/>
  <c r="T142" i="1"/>
  <c r="T139" i="1"/>
  <c r="T123" i="1"/>
  <c r="T120" i="1"/>
  <c r="T101" i="1"/>
  <c r="T82" i="1"/>
  <c r="T63" i="1"/>
  <c r="T44" i="1"/>
  <c r="T41" i="1"/>
  <c r="T25" i="1"/>
  <c r="T22" i="1"/>
  <c r="T497" i="1"/>
  <c r="T463" i="1"/>
  <c r="T415" i="1"/>
  <c r="T407" i="1"/>
  <c r="T392" i="1"/>
  <c r="T377" i="1"/>
  <c r="T351" i="1"/>
  <c r="T343" i="1"/>
  <c r="T483" i="1"/>
  <c r="T474" i="1"/>
  <c r="T467" i="1"/>
  <c r="T405" i="1"/>
  <c r="T388" i="1"/>
  <c r="T386" i="1"/>
  <c r="T370" i="1"/>
  <c r="T357" i="1"/>
  <c r="T330" i="1"/>
  <c r="T290" i="1"/>
  <c r="T277" i="1"/>
  <c r="T215" i="1"/>
  <c r="T189" i="1"/>
  <c r="T174" i="1"/>
  <c r="T163" i="1"/>
  <c r="T119" i="1"/>
  <c r="T116" i="1"/>
  <c r="T108" i="1"/>
  <c r="T97" i="1"/>
  <c r="T94" i="1"/>
  <c r="T86" i="1"/>
  <c r="T61" i="1"/>
  <c r="T58" i="1"/>
  <c r="T50" i="1"/>
  <c r="T36" i="1"/>
  <c r="T17" i="1"/>
  <c r="T454" i="1"/>
  <c r="T447" i="1"/>
  <c r="T416" i="1"/>
  <c r="T368" i="1"/>
  <c r="T344" i="1"/>
  <c r="T325" i="1"/>
  <c r="T310" i="1"/>
  <c r="T300" i="1"/>
  <c r="T242" i="1"/>
  <c r="T236" i="1"/>
  <c r="T223" i="1"/>
  <c r="T210" i="1"/>
  <c r="T493" i="1"/>
  <c r="T459" i="1"/>
  <c r="T426" i="1"/>
  <c r="T424" i="1"/>
  <c r="T409" i="1"/>
  <c r="T403" i="1"/>
  <c r="T280" i="1"/>
  <c r="T271" i="1"/>
  <c r="T264" i="1"/>
  <c r="T259" i="1"/>
  <c r="T204" i="1"/>
  <c r="T191" i="1"/>
  <c r="T169" i="1"/>
  <c r="T156" i="1"/>
  <c r="T135" i="1"/>
  <c r="T125" i="1"/>
  <c r="T91" i="1"/>
  <c r="T73" i="1"/>
  <c r="T60" i="1"/>
  <c r="T10" i="1"/>
  <c r="T452" i="1"/>
  <c r="T422" i="1"/>
  <c r="T393" i="1"/>
  <c r="T385" i="1"/>
  <c r="T376" i="1"/>
  <c r="T345" i="1"/>
  <c r="T316" i="1"/>
  <c r="T302" i="1"/>
  <c r="T295" i="1"/>
  <c r="T238" i="1"/>
  <c r="T230" i="1"/>
  <c r="T225" i="1"/>
  <c r="T211" i="1"/>
  <c r="T159" i="1"/>
  <c r="T146" i="1"/>
  <c r="T138" i="1"/>
  <c r="T112" i="1"/>
  <c r="T89" i="1"/>
  <c r="T84" i="1"/>
  <c r="T76" i="1"/>
  <c r="T68" i="1"/>
  <c r="T39" i="1"/>
  <c r="T31" i="1"/>
  <c r="T26" i="1"/>
  <c r="T21" i="1"/>
  <c r="T18" i="1"/>
  <c r="T13" i="1"/>
  <c r="T491" i="1"/>
  <c r="T471" i="1"/>
  <c r="T435" i="1"/>
  <c r="T349" i="1"/>
  <c r="T339" i="1"/>
  <c r="T323" i="1"/>
  <c r="T216" i="1"/>
  <c r="T209" i="1"/>
  <c r="T194" i="1"/>
  <c r="T184" i="1"/>
  <c r="T182" i="1"/>
  <c r="T177" i="1"/>
  <c r="T151" i="1"/>
  <c r="T141" i="1"/>
  <c r="T130" i="1"/>
  <c r="T115" i="1"/>
  <c r="T55" i="1"/>
  <c r="T42" i="1"/>
  <c r="T2" i="1"/>
  <c r="T500" i="1"/>
  <c r="T498" i="1"/>
  <c r="T482" i="1"/>
  <c r="T457" i="1"/>
  <c r="T383" i="1"/>
  <c r="T328" i="1"/>
  <c r="T278" i="1"/>
  <c r="T262" i="1"/>
  <c r="T250" i="1"/>
  <c r="T172" i="1"/>
  <c r="T167" i="1"/>
  <c r="T162" i="1"/>
  <c r="T485" i="1"/>
  <c r="T441" i="1"/>
  <c r="T431" i="1"/>
  <c r="T355" i="1"/>
  <c r="T298" i="1"/>
  <c r="T266" i="1"/>
  <c r="T248" i="1"/>
  <c r="T213" i="1"/>
  <c r="T200" i="1"/>
  <c r="T166" i="1"/>
  <c r="T157" i="1"/>
  <c r="T127" i="1"/>
  <c r="T479" i="1"/>
  <c r="T456" i="1"/>
  <c r="T427" i="1"/>
  <c r="T423" i="1"/>
  <c r="T421" i="1"/>
  <c r="T413" i="1"/>
  <c r="T411" i="1"/>
  <c r="T336" i="1"/>
  <c r="T321" i="1"/>
  <c r="T274" i="1"/>
  <c r="T235" i="1"/>
  <c r="T196" i="1"/>
  <c r="T181" i="1"/>
  <c r="T168" i="1"/>
  <c r="T148" i="1"/>
  <c r="T103" i="1"/>
  <c r="T96" i="1"/>
  <c r="T34" i="1"/>
  <c r="T16" i="1"/>
  <c r="T9" i="1"/>
  <c r="T429" i="1"/>
  <c r="T365" i="1"/>
  <c r="T319" i="1"/>
  <c r="T317" i="1"/>
  <c r="T305" i="1"/>
  <c r="T294" i="1"/>
  <c r="T228" i="1"/>
  <c r="T187" i="1"/>
  <c r="T170" i="1"/>
  <c r="T492" i="1"/>
  <c r="T462" i="1"/>
  <c r="T419" i="1"/>
  <c r="T390" i="1"/>
  <c r="T359" i="1"/>
  <c r="T313" i="1"/>
  <c r="T307" i="1"/>
  <c r="T287" i="1"/>
  <c r="T244" i="1"/>
  <c r="T207" i="1"/>
  <c r="T203" i="1"/>
  <c r="T185" i="1"/>
  <c r="T144" i="1"/>
  <c r="T121" i="1"/>
  <c r="T69" i="1"/>
  <c r="T67" i="1"/>
  <c r="T53" i="1"/>
  <c r="T51" i="1"/>
  <c r="T49" i="1"/>
  <c r="T23" i="1"/>
  <c r="S2" i="1"/>
  <c r="U2" i="1" s="1"/>
  <c r="T496" i="1"/>
  <c r="T253" i="1"/>
  <c r="T222" i="1"/>
  <c r="T192" i="1"/>
  <c r="T160" i="1"/>
  <c r="T153" i="1"/>
  <c r="T110" i="1"/>
  <c r="T106" i="1"/>
  <c r="T99" i="1"/>
  <c r="T83" i="1"/>
  <c r="T32" i="1"/>
  <c r="T7" i="1"/>
  <c r="T446" i="1"/>
  <c r="T442" i="1"/>
  <c r="T400" i="1"/>
  <c r="T346" i="1"/>
  <c r="T326" i="1"/>
  <c r="T324" i="1"/>
  <c r="T292" i="1"/>
  <c r="T226" i="1"/>
  <c r="T201" i="1"/>
  <c r="T158" i="1"/>
  <c r="T92" i="1"/>
  <c r="T37" i="1"/>
  <c r="T30" i="1"/>
  <c r="T14" i="1"/>
  <c r="T490" i="1"/>
  <c r="T468" i="1"/>
  <c r="T450" i="1"/>
  <c r="T448" i="1"/>
  <c r="T398" i="1"/>
  <c r="T394" i="1"/>
  <c r="T373" i="1"/>
  <c r="T301" i="1"/>
  <c r="T283" i="1"/>
  <c r="T260" i="1"/>
  <c r="T231" i="1"/>
  <c r="T220" i="1"/>
  <c r="T214" i="1"/>
  <c r="T190" i="1"/>
  <c r="T175" i="1"/>
  <c r="T173" i="1"/>
  <c r="T140" i="1"/>
  <c r="T128" i="1"/>
  <c r="T117" i="1"/>
  <c r="T81" i="1"/>
  <c r="T65" i="1"/>
  <c r="T472" i="1"/>
  <c r="T466" i="1"/>
  <c r="T440" i="1"/>
  <c r="T432" i="1"/>
  <c r="T299" i="1"/>
  <c r="T281" i="1"/>
  <c r="T197" i="1"/>
  <c r="T188" i="1"/>
  <c r="T171" i="1"/>
  <c r="T149" i="1"/>
  <c r="T133" i="1"/>
  <c r="T124" i="1"/>
  <c r="T122" i="1"/>
  <c r="T90" i="1"/>
  <c r="T74" i="1"/>
  <c r="T56" i="1"/>
  <c r="T35" i="1"/>
  <c r="T19" i="1"/>
  <c r="T476" i="1"/>
  <c r="T408" i="1"/>
  <c r="T297" i="1"/>
  <c r="T245" i="1"/>
  <c r="T229" i="1"/>
  <c r="T79" i="1"/>
  <c r="T72" i="1"/>
  <c r="T54" i="1"/>
  <c r="T24" i="1"/>
  <c r="T3" i="1"/>
  <c r="T430" i="1"/>
  <c r="T418" i="1"/>
  <c r="T406" i="1"/>
  <c r="T362" i="1"/>
  <c r="T354" i="1"/>
  <c r="T350" i="1"/>
  <c r="T327" i="1"/>
  <c r="T288" i="1"/>
  <c r="T265" i="1"/>
  <c r="T234" i="1"/>
  <c r="T212" i="1"/>
  <c r="T165" i="1"/>
  <c r="T147" i="1"/>
  <c r="T113" i="1"/>
  <c r="T111" i="1"/>
  <c r="T102" i="1"/>
  <c r="T100" i="1"/>
  <c r="T70" i="1"/>
  <c r="T45" i="1"/>
  <c r="T40" i="1"/>
  <c r="T455" i="1"/>
  <c r="T389" i="1"/>
  <c r="T335" i="1"/>
  <c r="T329" i="1"/>
  <c r="T308" i="1"/>
  <c r="T304" i="1"/>
  <c r="T241" i="1"/>
  <c r="T208" i="1"/>
  <c r="T206" i="1"/>
  <c r="T193" i="1"/>
  <c r="T178" i="1"/>
  <c r="T154" i="1"/>
  <c r="T136" i="1"/>
  <c r="T453" i="1"/>
  <c r="T237" i="1"/>
  <c r="T131" i="1"/>
  <c r="T129" i="1"/>
  <c r="T11" i="1"/>
  <c r="T487" i="1"/>
  <c r="T312" i="1"/>
  <c r="T219" i="1"/>
  <c r="T137" i="1"/>
  <c r="T87" i="1"/>
  <c r="T59" i="1"/>
  <c r="T52" i="1"/>
  <c r="T38" i="1"/>
  <c r="T134" i="1"/>
  <c r="T29" i="1"/>
  <c r="T445" i="1"/>
  <c r="T62" i="1"/>
  <c r="T384" i="1"/>
  <c r="T78" i="1"/>
  <c r="T8" i="1"/>
  <c r="T95" i="1"/>
  <c r="T495" i="1"/>
  <c r="T443" i="1"/>
  <c r="T105" i="1"/>
  <c r="T71" i="1"/>
  <c r="T114" i="1"/>
  <c r="T64" i="1"/>
  <c r="T501" i="1"/>
  <c r="T286" i="1"/>
  <c r="T20" i="1"/>
  <c r="T333" i="1"/>
  <c r="T98" i="1"/>
  <c r="T77" i="1"/>
  <c r="T75" i="1"/>
  <c r="T227" i="1"/>
  <c r="T284" i="1"/>
  <c r="T155" i="1"/>
  <c r="T33" i="1"/>
  <c r="T109" i="1"/>
  <c r="T395" i="1"/>
  <c r="T57" i="1"/>
  <c r="T15" i="1"/>
  <c r="T232" i="1"/>
  <c r="T152" i="1"/>
  <c r="T80" i="1"/>
  <c r="T48" i="1"/>
  <c r="T6" i="1"/>
  <c r="T489" i="1"/>
  <c r="T293" i="1"/>
  <c r="T291" i="1"/>
  <c r="T150" i="1"/>
  <c r="T46" i="1"/>
  <c r="T4" i="1"/>
  <c r="T338" i="1"/>
  <c r="T143" i="1"/>
  <c r="T380" i="1"/>
  <c r="T132" i="1"/>
  <c r="T93" i="1"/>
  <c r="T118" i="1"/>
  <c r="T27" i="1"/>
  <c r="T43" i="1"/>
  <c r="M22" i="2" l="1"/>
  <c r="N21" i="2"/>
  <c r="M23" i="2" l="1"/>
  <c r="N22" i="2"/>
  <c r="M24" i="2" l="1"/>
  <c r="N23" i="2"/>
  <c r="M25" i="2" l="1"/>
  <c r="N24" i="2"/>
  <c r="M26" i="2" l="1"/>
  <c r="N25" i="2"/>
  <c r="N26" i="2" l="1"/>
  <c r="M27" i="2"/>
  <c r="N27" i="2" s="1"/>
  <c r="O20" i="2" l="1"/>
  <c r="O18" i="2"/>
  <c r="O19" i="2"/>
</calcChain>
</file>

<file path=xl/sharedStrings.xml><?xml version="1.0" encoding="utf-8"?>
<sst xmlns="http://schemas.openxmlformats.org/spreadsheetml/2006/main" count="3077" uniqueCount="600">
  <si>
    <t>PO Number</t>
  </si>
  <si>
    <t>Vendor ID</t>
  </si>
  <si>
    <t>Vendor Name</t>
  </si>
  <si>
    <t>Category</t>
  </si>
  <si>
    <t>Month</t>
  </si>
  <si>
    <t>Order Qty</t>
  </si>
  <si>
    <t>Received Qty</t>
  </si>
  <si>
    <t>Planned Date</t>
  </si>
  <si>
    <t>Actual Receipt Date</t>
  </si>
  <si>
    <t>Defect Qty</t>
  </si>
  <si>
    <t>Unit Price</t>
  </si>
  <si>
    <t>PO1001</t>
  </si>
  <si>
    <t>V006</t>
  </si>
  <si>
    <t>Omega Industries</t>
  </si>
  <si>
    <t>IC</t>
  </si>
  <si>
    <t>Dec</t>
  </si>
  <si>
    <t>PO1002</t>
  </si>
  <si>
    <t>V007</t>
  </si>
  <si>
    <t>Nexus Parts</t>
  </si>
  <si>
    <t>Connector</t>
  </si>
  <si>
    <t>Jul</t>
  </si>
  <si>
    <t>PO1003</t>
  </si>
  <si>
    <t>V009</t>
  </si>
  <si>
    <t>Zenith Manufacturing</t>
  </si>
  <si>
    <t>May</t>
  </si>
  <si>
    <t>PO1004</t>
  </si>
  <si>
    <t>V001</t>
  </si>
  <si>
    <t>Alpha Electronics</t>
  </si>
  <si>
    <t>Sep</t>
  </si>
  <si>
    <t>PO1005</t>
  </si>
  <si>
    <t>V002</t>
  </si>
  <si>
    <t>Beta Components</t>
  </si>
  <si>
    <t>PO1006</t>
  </si>
  <si>
    <t>PCB</t>
  </si>
  <si>
    <t>Jun</t>
  </si>
  <si>
    <t>PO1007</t>
  </si>
  <si>
    <t>PO1008</t>
  </si>
  <si>
    <t>PO1009</t>
  </si>
  <si>
    <t>V005</t>
  </si>
  <si>
    <t>Epsilon Systems</t>
  </si>
  <si>
    <t>Aug</t>
  </si>
  <si>
    <t>PO1010</t>
  </si>
  <si>
    <t>V010</t>
  </si>
  <si>
    <t>Vertex Solutions</t>
  </si>
  <si>
    <t>PO1011</t>
  </si>
  <si>
    <t>V004</t>
  </si>
  <si>
    <t>Delta Supplies</t>
  </si>
  <si>
    <t>Nov</t>
  </si>
  <si>
    <t>PO1012</t>
  </si>
  <si>
    <t>PO1013</t>
  </si>
  <si>
    <t>PO1014</t>
  </si>
  <si>
    <t>PO1015</t>
  </si>
  <si>
    <t>Mar</t>
  </si>
  <si>
    <t>PO1016</t>
  </si>
  <si>
    <t>PO1017</t>
  </si>
  <si>
    <t>Capacitor</t>
  </si>
  <si>
    <t>PO1018</t>
  </si>
  <si>
    <t>Oct</t>
  </si>
  <si>
    <t>PO1019</t>
  </si>
  <si>
    <t>V003</t>
  </si>
  <si>
    <t>Gamma Technologies</t>
  </si>
  <si>
    <t>PO1020</t>
  </si>
  <si>
    <t>PO1021</t>
  </si>
  <si>
    <t>Feb</t>
  </si>
  <si>
    <t>PO1022</t>
  </si>
  <si>
    <t>PO1023</t>
  </si>
  <si>
    <t>PO1024</t>
  </si>
  <si>
    <t>PO1025</t>
  </si>
  <si>
    <t>PO1026</t>
  </si>
  <si>
    <t>PO1027</t>
  </si>
  <si>
    <t>Jan</t>
  </si>
  <si>
    <t>PO1028</t>
  </si>
  <si>
    <t>PO1029</t>
  </si>
  <si>
    <t>PO1030</t>
  </si>
  <si>
    <t>PO1031</t>
  </si>
  <si>
    <t>PO1032</t>
  </si>
  <si>
    <t>PO1033</t>
  </si>
  <si>
    <t>PO1034</t>
  </si>
  <si>
    <t>V008</t>
  </si>
  <si>
    <t>Prime Circuits</t>
  </si>
  <si>
    <t>PO1035</t>
  </si>
  <si>
    <t>PO1036</t>
  </si>
  <si>
    <t>PO1037</t>
  </si>
  <si>
    <t>PO1038</t>
  </si>
  <si>
    <t>PO1039</t>
  </si>
  <si>
    <t>PO1040</t>
  </si>
  <si>
    <t>PO1041</t>
  </si>
  <si>
    <t>PO1042</t>
  </si>
  <si>
    <t>PO1043</t>
  </si>
  <si>
    <t>PO1044</t>
  </si>
  <si>
    <t>PO1045</t>
  </si>
  <si>
    <t>PO1046</t>
  </si>
  <si>
    <t>PO1047</t>
  </si>
  <si>
    <t>PO1048</t>
  </si>
  <si>
    <t>PO1049</t>
  </si>
  <si>
    <t>PO1050</t>
  </si>
  <si>
    <t>Apr</t>
  </si>
  <si>
    <t>PO1051</t>
  </si>
  <si>
    <t>PO1052</t>
  </si>
  <si>
    <t>PO1053</t>
  </si>
  <si>
    <t>PO1054</t>
  </si>
  <si>
    <t>PO1055</t>
  </si>
  <si>
    <t>PO1056</t>
  </si>
  <si>
    <t>PO1057</t>
  </si>
  <si>
    <t>PO1058</t>
  </si>
  <si>
    <t>PO1059</t>
  </si>
  <si>
    <t>PO1060</t>
  </si>
  <si>
    <t>PO1061</t>
  </si>
  <si>
    <t>PO1062</t>
  </si>
  <si>
    <t>PO1063</t>
  </si>
  <si>
    <t>PO1064</t>
  </si>
  <si>
    <t>PO1065</t>
  </si>
  <si>
    <t>PO1066</t>
  </si>
  <si>
    <t>PO1067</t>
  </si>
  <si>
    <t>PO1068</t>
  </si>
  <si>
    <t>PO1069</t>
  </si>
  <si>
    <t>PO1070</t>
  </si>
  <si>
    <t>PO1071</t>
  </si>
  <si>
    <t>PO1072</t>
  </si>
  <si>
    <t>PO1073</t>
  </si>
  <si>
    <t>PO1074</t>
  </si>
  <si>
    <t>PO1075</t>
  </si>
  <si>
    <t>PO1076</t>
  </si>
  <si>
    <t>PO1077</t>
  </si>
  <si>
    <t>PO1078</t>
  </si>
  <si>
    <t>PO1079</t>
  </si>
  <si>
    <t>PO1080</t>
  </si>
  <si>
    <t>PO1081</t>
  </si>
  <si>
    <t>PO1082</t>
  </si>
  <si>
    <t>PO1083</t>
  </si>
  <si>
    <t>PO1084</t>
  </si>
  <si>
    <t>PO1085</t>
  </si>
  <si>
    <t>PO1086</t>
  </si>
  <si>
    <t>PO1087</t>
  </si>
  <si>
    <t>PO1088</t>
  </si>
  <si>
    <t>PO1089</t>
  </si>
  <si>
    <t>PO1090</t>
  </si>
  <si>
    <t>PO1091</t>
  </si>
  <si>
    <t>PO1092</t>
  </si>
  <si>
    <t>PO1093</t>
  </si>
  <si>
    <t>PO1094</t>
  </si>
  <si>
    <t>PO1095</t>
  </si>
  <si>
    <t>PO1096</t>
  </si>
  <si>
    <t>PO1097</t>
  </si>
  <si>
    <t>PO1098</t>
  </si>
  <si>
    <t>PO1099</t>
  </si>
  <si>
    <t>PO1100</t>
  </si>
  <si>
    <t>PO1101</t>
  </si>
  <si>
    <t>PO1102</t>
  </si>
  <si>
    <t>PO1103</t>
  </si>
  <si>
    <t>PO1104</t>
  </si>
  <si>
    <t>PO1105</t>
  </si>
  <si>
    <t>PO1106</t>
  </si>
  <si>
    <t>PO1107</t>
  </si>
  <si>
    <t>PO1108</t>
  </si>
  <si>
    <t>PO1109</t>
  </si>
  <si>
    <t>PO1110</t>
  </si>
  <si>
    <t>PO1111</t>
  </si>
  <si>
    <t>PO1112</t>
  </si>
  <si>
    <t>PO1113</t>
  </si>
  <si>
    <t>PO1114</t>
  </si>
  <si>
    <t>PO1115</t>
  </si>
  <si>
    <t>PO1116</t>
  </si>
  <si>
    <t>PO1117</t>
  </si>
  <si>
    <t>PO1118</t>
  </si>
  <si>
    <t>PO1119</t>
  </si>
  <si>
    <t>PO1120</t>
  </si>
  <si>
    <t>PO1121</t>
  </si>
  <si>
    <t>PO1122</t>
  </si>
  <si>
    <t>PO1123</t>
  </si>
  <si>
    <t>PO1124</t>
  </si>
  <si>
    <t>PO1125</t>
  </si>
  <si>
    <t>PO1126</t>
  </si>
  <si>
    <t>PO1127</t>
  </si>
  <si>
    <t>PO1128</t>
  </si>
  <si>
    <t>PO1129</t>
  </si>
  <si>
    <t>PO1130</t>
  </si>
  <si>
    <t>PO1131</t>
  </si>
  <si>
    <t>PO1132</t>
  </si>
  <si>
    <t>PO1133</t>
  </si>
  <si>
    <t>PO1134</t>
  </si>
  <si>
    <t>PO1135</t>
  </si>
  <si>
    <t>PO1136</t>
  </si>
  <si>
    <t>PO1137</t>
  </si>
  <si>
    <t>PO1138</t>
  </si>
  <si>
    <t>PO1139</t>
  </si>
  <si>
    <t>PO1140</t>
  </si>
  <si>
    <t>PO1141</t>
  </si>
  <si>
    <t>PO1142</t>
  </si>
  <si>
    <t>PO1143</t>
  </si>
  <si>
    <t>PO1144</t>
  </si>
  <si>
    <t>PO1145</t>
  </si>
  <si>
    <t>PO1146</t>
  </si>
  <si>
    <t>PO1147</t>
  </si>
  <si>
    <t>PO1148</t>
  </si>
  <si>
    <t>PO1149</t>
  </si>
  <si>
    <t>PO1150</t>
  </si>
  <si>
    <t>PO1151</t>
  </si>
  <si>
    <t>PO1152</t>
  </si>
  <si>
    <t>PO1153</t>
  </si>
  <si>
    <t>PO1154</t>
  </si>
  <si>
    <t>PO1155</t>
  </si>
  <si>
    <t>PO1156</t>
  </si>
  <si>
    <t>PO1157</t>
  </si>
  <si>
    <t>PO1158</t>
  </si>
  <si>
    <t>PO1159</t>
  </si>
  <si>
    <t>PO1160</t>
  </si>
  <si>
    <t>PO1161</t>
  </si>
  <si>
    <t>PO1162</t>
  </si>
  <si>
    <t>PO1163</t>
  </si>
  <si>
    <t>PO1164</t>
  </si>
  <si>
    <t>PO1165</t>
  </si>
  <si>
    <t>PO1166</t>
  </si>
  <si>
    <t>PO1167</t>
  </si>
  <si>
    <t>PO1168</t>
  </si>
  <si>
    <t>PO1169</t>
  </si>
  <si>
    <t>PO1170</t>
  </si>
  <si>
    <t>PO1171</t>
  </si>
  <si>
    <t>PO1172</t>
  </si>
  <si>
    <t>PO1173</t>
  </si>
  <si>
    <t>PO1174</t>
  </si>
  <si>
    <t>PO1175</t>
  </si>
  <si>
    <t>PO1176</t>
  </si>
  <si>
    <t>PO1177</t>
  </si>
  <si>
    <t>PO1178</t>
  </si>
  <si>
    <t>PO1179</t>
  </si>
  <si>
    <t>PO1180</t>
  </si>
  <si>
    <t>PO1181</t>
  </si>
  <si>
    <t>PO1182</t>
  </si>
  <si>
    <t>PO1183</t>
  </si>
  <si>
    <t>PO1184</t>
  </si>
  <si>
    <t>PO1185</t>
  </si>
  <si>
    <t>PO1186</t>
  </si>
  <si>
    <t>PO1187</t>
  </si>
  <si>
    <t>PO1188</t>
  </si>
  <si>
    <t>PO1189</t>
  </si>
  <si>
    <t>PO1190</t>
  </si>
  <si>
    <t>PO1191</t>
  </si>
  <si>
    <t>PO1192</t>
  </si>
  <si>
    <t>PO1193</t>
  </si>
  <si>
    <t>PO1194</t>
  </si>
  <si>
    <t>PO1195</t>
  </si>
  <si>
    <t>PO1196</t>
  </si>
  <si>
    <t>PO1197</t>
  </si>
  <si>
    <t>PO1198</t>
  </si>
  <si>
    <t>PO1199</t>
  </si>
  <si>
    <t>PO1200</t>
  </si>
  <si>
    <t>PO1201</t>
  </si>
  <si>
    <t>PO1202</t>
  </si>
  <si>
    <t>PO1203</t>
  </si>
  <si>
    <t>PO1204</t>
  </si>
  <si>
    <t>PO1205</t>
  </si>
  <si>
    <t>PO1206</t>
  </si>
  <si>
    <t>PO1207</t>
  </si>
  <si>
    <t>PO1208</t>
  </si>
  <si>
    <t>PO1209</t>
  </si>
  <si>
    <t>PO1210</t>
  </si>
  <si>
    <t>PO1211</t>
  </si>
  <si>
    <t>PO1212</t>
  </si>
  <si>
    <t>PO1213</t>
  </si>
  <si>
    <t>PO1214</t>
  </si>
  <si>
    <t>PO1215</t>
  </si>
  <si>
    <t>PO1216</t>
  </si>
  <si>
    <t>PO1217</t>
  </si>
  <si>
    <t>PO1218</t>
  </si>
  <si>
    <t>PO1219</t>
  </si>
  <si>
    <t>PO1220</t>
  </si>
  <si>
    <t>PO1221</t>
  </si>
  <si>
    <t>PO1222</t>
  </si>
  <si>
    <t>PO1223</t>
  </si>
  <si>
    <t>PO1224</t>
  </si>
  <si>
    <t>PO1225</t>
  </si>
  <si>
    <t>PO1226</t>
  </si>
  <si>
    <t>PO1227</t>
  </si>
  <si>
    <t>PO1228</t>
  </si>
  <si>
    <t>PO1229</t>
  </si>
  <si>
    <t>PO1230</t>
  </si>
  <si>
    <t>PO1231</t>
  </si>
  <si>
    <t>PO1232</t>
  </si>
  <si>
    <t>PO1233</t>
  </si>
  <si>
    <t>PO1234</t>
  </si>
  <si>
    <t>PO1235</t>
  </si>
  <si>
    <t>PO1236</t>
  </si>
  <si>
    <t>PO1237</t>
  </si>
  <si>
    <t>PO1238</t>
  </si>
  <si>
    <t>PO1239</t>
  </si>
  <si>
    <t>PO1240</t>
  </si>
  <si>
    <t>PO1241</t>
  </si>
  <si>
    <t>PO1242</t>
  </si>
  <si>
    <t>PO1243</t>
  </si>
  <si>
    <t>PO1244</t>
  </si>
  <si>
    <t>PO1245</t>
  </si>
  <si>
    <t>PO1246</t>
  </si>
  <si>
    <t>PO1247</t>
  </si>
  <si>
    <t>PO1248</t>
  </si>
  <si>
    <t>PO1249</t>
  </si>
  <si>
    <t>PO1250</t>
  </si>
  <si>
    <t>PO1251</t>
  </si>
  <si>
    <t>PO1252</t>
  </si>
  <si>
    <t>PO1253</t>
  </si>
  <si>
    <t>PO1254</t>
  </si>
  <si>
    <t>PO1255</t>
  </si>
  <si>
    <t>PO1256</t>
  </si>
  <si>
    <t>PO1257</t>
  </si>
  <si>
    <t>PO1258</t>
  </si>
  <si>
    <t>PO1259</t>
  </si>
  <si>
    <t>PO1260</t>
  </si>
  <si>
    <t>PO1261</t>
  </si>
  <si>
    <t>PO1262</t>
  </si>
  <si>
    <t>PO1263</t>
  </si>
  <si>
    <t>PO1264</t>
  </si>
  <si>
    <t>PO1265</t>
  </si>
  <si>
    <t>PO1266</t>
  </si>
  <si>
    <t>PO1267</t>
  </si>
  <si>
    <t>PO1268</t>
  </si>
  <si>
    <t>PO1269</t>
  </si>
  <si>
    <t>PO1270</t>
  </si>
  <si>
    <t>PO1271</t>
  </si>
  <si>
    <t>PO1272</t>
  </si>
  <si>
    <t>PO1273</t>
  </si>
  <si>
    <t>PO1274</t>
  </si>
  <si>
    <t>PO1275</t>
  </si>
  <si>
    <t>PO1276</t>
  </si>
  <si>
    <t>PO1277</t>
  </si>
  <si>
    <t>PO1278</t>
  </si>
  <si>
    <t>PO1279</t>
  </si>
  <si>
    <t>PO1280</t>
  </si>
  <si>
    <t>PO1281</t>
  </si>
  <si>
    <t>PO1282</t>
  </si>
  <si>
    <t>PO1283</t>
  </si>
  <si>
    <t>PO1284</t>
  </si>
  <si>
    <t>PO1285</t>
  </si>
  <si>
    <t>PO1286</t>
  </si>
  <si>
    <t>PO1287</t>
  </si>
  <si>
    <t>PO1288</t>
  </si>
  <si>
    <t>PO1289</t>
  </si>
  <si>
    <t>PO1290</t>
  </si>
  <si>
    <t>PO1291</t>
  </si>
  <si>
    <t>PO1292</t>
  </si>
  <si>
    <t>PO1293</t>
  </si>
  <si>
    <t>PO1294</t>
  </si>
  <si>
    <t>PO1295</t>
  </si>
  <si>
    <t>PO1296</t>
  </si>
  <si>
    <t>PO1297</t>
  </si>
  <si>
    <t>PO1298</t>
  </si>
  <si>
    <t>PO1299</t>
  </si>
  <si>
    <t>PO1300</t>
  </si>
  <si>
    <t>PO1301</t>
  </si>
  <si>
    <t>PO1302</t>
  </si>
  <si>
    <t>PO1303</t>
  </si>
  <si>
    <t>PO1304</t>
  </si>
  <si>
    <t>PO1305</t>
  </si>
  <si>
    <t>PO1306</t>
  </si>
  <si>
    <t>PO1307</t>
  </si>
  <si>
    <t>PO1308</t>
  </si>
  <si>
    <t>PO1309</t>
  </si>
  <si>
    <t>PO1310</t>
  </si>
  <si>
    <t>PO1311</t>
  </si>
  <si>
    <t>PO1312</t>
  </si>
  <si>
    <t>PO1313</t>
  </si>
  <si>
    <t>PO1314</t>
  </si>
  <si>
    <t>PO1315</t>
  </si>
  <si>
    <t>PO1316</t>
  </si>
  <si>
    <t>PO1317</t>
  </si>
  <si>
    <t>PO1318</t>
  </si>
  <si>
    <t>PO1319</t>
  </si>
  <si>
    <t>PO1320</t>
  </si>
  <si>
    <t>PO1321</t>
  </si>
  <si>
    <t>PO1322</t>
  </si>
  <si>
    <t>PO1323</t>
  </si>
  <si>
    <t>PO1324</t>
  </si>
  <si>
    <t>PO1325</t>
  </si>
  <si>
    <t>PO1326</t>
  </si>
  <si>
    <t>PO1327</t>
  </si>
  <si>
    <t>PO1328</t>
  </si>
  <si>
    <t>PO1329</t>
  </si>
  <si>
    <t>PO1330</t>
  </si>
  <si>
    <t>PO1331</t>
  </si>
  <si>
    <t>PO1332</t>
  </si>
  <si>
    <t>PO1333</t>
  </si>
  <si>
    <t>PO1334</t>
  </si>
  <si>
    <t>PO1335</t>
  </si>
  <si>
    <t>PO1336</t>
  </si>
  <si>
    <t>PO1337</t>
  </si>
  <si>
    <t>PO1338</t>
  </si>
  <si>
    <t>PO1339</t>
  </si>
  <si>
    <t>PO1340</t>
  </si>
  <si>
    <t>PO1341</t>
  </si>
  <si>
    <t>PO1342</t>
  </si>
  <si>
    <t>PO1343</t>
  </si>
  <si>
    <t>PO1344</t>
  </si>
  <si>
    <t>PO1345</t>
  </si>
  <si>
    <t>PO1346</t>
  </si>
  <si>
    <t>PO1347</t>
  </si>
  <si>
    <t>PO1348</t>
  </si>
  <si>
    <t>PO1349</t>
  </si>
  <si>
    <t>PO1350</t>
  </si>
  <si>
    <t>PO1351</t>
  </si>
  <si>
    <t>PO1352</t>
  </si>
  <si>
    <t>PO1353</t>
  </si>
  <si>
    <t>PO1354</t>
  </si>
  <si>
    <t>PO1355</t>
  </si>
  <si>
    <t>PO1356</t>
  </si>
  <si>
    <t>PO1357</t>
  </si>
  <si>
    <t>PO1358</t>
  </si>
  <si>
    <t>PO1359</t>
  </si>
  <si>
    <t>PO1360</t>
  </si>
  <si>
    <t>PO1361</t>
  </si>
  <si>
    <t>PO1362</t>
  </si>
  <si>
    <t>PO1363</t>
  </si>
  <si>
    <t>PO1364</t>
  </si>
  <si>
    <t>PO1365</t>
  </si>
  <si>
    <t>PO1366</t>
  </si>
  <si>
    <t>PO1367</t>
  </si>
  <si>
    <t>PO1368</t>
  </si>
  <si>
    <t>PO1369</t>
  </si>
  <si>
    <t>PO1370</t>
  </si>
  <si>
    <t>PO1371</t>
  </si>
  <si>
    <t>PO1372</t>
  </si>
  <si>
    <t>PO1373</t>
  </si>
  <si>
    <t>PO1374</t>
  </si>
  <si>
    <t>PO1375</t>
  </si>
  <si>
    <t>PO1376</t>
  </si>
  <si>
    <t>PO1377</t>
  </si>
  <si>
    <t>PO1378</t>
  </si>
  <si>
    <t>PO1379</t>
  </si>
  <si>
    <t>PO1380</t>
  </si>
  <si>
    <t>PO1381</t>
  </si>
  <si>
    <t>PO1382</t>
  </si>
  <si>
    <t>PO1383</t>
  </si>
  <si>
    <t>PO1384</t>
  </si>
  <si>
    <t>PO1385</t>
  </si>
  <si>
    <t>PO1386</t>
  </si>
  <si>
    <t>PO1387</t>
  </si>
  <si>
    <t>PO1388</t>
  </si>
  <si>
    <t>PO1389</t>
  </si>
  <si>
    <t>PO1390</t>
  </si>
  <si>
    <t>PO1391</t>
  </si>
  <si>
    <t>PO1392</t>
  </si>
  <si>
    <t>PO1393</t>
  </si>
  <si>
    <t>PO1394</t>
  </si>
  <si>
    <t>PO1395</t>
  </si>
  <si>
    <t>PO1396</t>
  </si>
  <si>
    <t>PO1397</t>
  </si>
  <si>
    <t>PO1398</t>
  </si>
  <si>
    <t>PO1399</t>
  </si>
  <si>
    <t>PO1400</t>
  </si>
  <si>
    <t>PO1401</t>
  </si>
  <si>
    <t>PO1402</t>
  </si>
  <si>
    <t>PO1403</t>
  </si>
  <si>
    <t>PO1404</t>
  </si>
  <si>
    <t>PO1405</t>
  </si>
  <si>
    <t>PO1406</t>
  </si>
  <si>
    <t>PO1407</t>
  </si>
  <si>
    <t>PO1408</t>
  </si>
  <si>
    <t>PO1409</t>
  </si>
  <si>
    <t>PO1410</t>
  </si>
  <si>
    <t>PO1411</t>
  </si>
  <si>
    <t>PO1412</t>
  </si>
  <si>
    <t>PO1413</t>
  </si>
  <si>
    <t>PO1414</t>
  </si>
  <si>
    <t>PO1415</t>
  </si>
  <si>
    <t>PO1416</t>
  </si>
  <si>
    <t>PO1417</t>
  </si>
  <si>
    <t>PO1418</t>
  </si>
  <si>
    <t>PO1419</t>
  </si>
  <si>
    <t>PO1420</t>
  </si>
  <si>
    <t>PO1421</t>
  </si>
  <si>
    <t>PO1422</t>
  </si>
  <si>
    <t>PO1423</t>
  </si>
  <si>
    <t>PO1424</t>
  </si>
  <si>
    <t>PO1425</t>
  </si>
  <si>
    <t>PO1426</t>
  </si>
  <si>
    <t>PO1427</t>
  </si>
  <si>
    <t>PO1428</t>
  </si>
  <si>
    <t>PO1429</t>
  </si>
  <si>
    <t>PO1430</t>
  </si>
  <si>
    <t>PO1431</t>
  </si>
  <si>
    <t>PO1432</t>
  </si>
  <si>
    <t>PO1433</t>
  </si>
  <si>
    <t>PO1434</t>
  </si>
  <si>
    <t>PO1435</t>
  </si>
  <si>
    <t>PO1436</t>
  </si>
  <si>
    <t>PO1437</t>
  </si>
  <si>
    <t>PO1438</t>
  </si>
  <si>
    <t>PO1439</t>
  </si>
  <si>
    <t>PO1440</t>
  </si>
  <si>
    <t>PO1441</t>
  </si>
  <si>
    <t>PO1442</t>
  </si>
  <si>
    <t>PO1443</t>
  </si>
  <si>
    <t>PO1444</t>
  </si>
  <si>
    <t>PO1445</t>
  </si>
  <si>
    <t>PO1446</t>
  </si>
  <si>
    <t>PO1447</t>
  </si>
  <si>
    <t>PO1448</t>
  </si>
  <si>
    <t>PO1449</t>
  </si>
  <si>
    <t>PO1450</t>
  </si>
  <si>
    <t>PO1451</t>
  </si>
  <si>
    <t>PO1452</t>
  </si>
  <si>
    <t>PO1453</t>
  </si>
  <si>
    <t>PO1454</t>
  </si>
  <si>
    <t>PO1455</t>
  </si>
  <si>
    <t>PO1456</t>
  </si>
  <si>
    <t>PO1457</t>
  </si>
  <si>
    <t>PO1458</t>
  </si>
  <si>
    <t>PO1459</t>
  </si>
  <si>
    <t>PO1460</t>
  </si>
  <si>
    <t>PO1461</t>
  </si>
  <si>
    <t>PO1462</t>
  </si>
  <si>
    <t>PO1463</t>
  </si>
  <si>
    <t>PO1464</t>
  </si>
  <si>
    <t>PO1465</t>
  </si>
  <si>
    <t>PO1466</t>
  </si>
  <si>
    <t>PO1467</t>
  </si>
  <si>
    <t>PO1468</t>
  </si>
  <si>
    <t>PO1469</t>
  </si>
  <si>
    <t>PO1470</t>
  </si>
  <si>
    <t>PO1471</t>
  </si>
  <si>
    <t>PO1472</t>
  </si>
  <si>
    <t>PO1473</t>
  </si>
  <si>
    <t>PO1474</t>
  </si>
  <si>
    <t>PO1475</t>
  </si>
  <si>
    <t>PO1476</t>
  </si>
  <si>
    <t>PO1477</t>
  </si>
  <si>
    <t>PO1478</t>
  </si>
  <si>
    <t>PO1479</t>
  </si>
  <si>
    <t>PO1480</t>
  </si>
  <si>
    <t>PO1481</t>
  </si>
  <si>
    <t>PO1482</t>
  </si>
  <si>
    <t>PO1483</t>
  </si>
  <si>
    <t>PO1484</t>
  </si>
  <si>
    <t>PO1485</t>
  </si>
  <si>
    <t>PO1486</t>
  </si>
  <si>
    <t>PO1487</t>
  </si>
  <si>
    <t>PO1488</t>
  </si>
  <si>
    <t>PO1489</t>
  </si>
  <si>
    <t>PO1490</t>
  </si>
  <si>
    <t>PO1491</t>
  </si>
  <si>
    <t>PO1492</t>
  </si>
  <si>
    <t>PO1493</t>
  </si>
  <si>
    <t>PO1494</t>
  </si>
  <si>
    <t>PO1495</t>
  </si>
  <si>
    <t>PO1496</t>
  </si>
  <si>
    <t>PO1497</t>
  </si>
  <si>
    <t>PO1498</t>
  </si>
  <si>
    <t>PO1499</t>
  </si>
  <si>
    <t>PO1500</t>
  </si>
  <si>
    <t>Delivery Delay</t>
  </si>
  <si>
    <t>OTD</t>
  </si>
  <si>
    <t>Fill Rate</t>
  </si>
  <si>
    <t>Quality Rate</t>
  </si>
  <si>
    <t>Order Value</t>
  </si>
  <si>
    <t>Vendor Score</t>
  </si>
  <si>
    <t>Grand Total</t>
  </si>
  <si>
    <t>Average of OTD</t>
  </si>
  <si>
    <t>Average of Quality Rate</t>
  </si>
  <si>
    <t>Sum of Order Value</t>
  </si>
  <si>
    <t>Average of Vendor Score</t>
  </si>
  <si>
    <t>Sum of Defect Qty</t>
  </si>
  <si>
    <t>Vendor Performance Summary</t>
  </si>
  <si>
    <t>Supplier Name</t>
  </si>
  <si>
    <t>Monthly Spend</t>
  </si>
  <si>
    <t>Late Deliveries</t>
  </si>
  <si>
    <t>Defect Analysis</t>
  </si>
  <si>
    <t>Cost Score</t>
  </si>
  <si>
    <t>Column1</t>
  </si>
  <si>
    <t>OTD in Values</t>
  </si>
  <si>
    <t>Sum of OTD in Values</t>
  </si>
  <si>
    <t>Details for Sum of OTD in Values - Vendor Name: Omega Industries</t>
  </si>
  <si>
    <t>Status</t>
  </si>
  <si>
    <t xml:space="preserve">🏆BEST VENDOR   </t>
  </si>
  <si>
    <t>🚚BEST OTD</t>
  </si>
  <si>
    <t>🚚AVERAGE OTD</t>
  </si>
  <si>
    <t>📦TOTAL SPEND</t>
  </si>
  <si>
    <t>📊Total Vendor</t>
  </si>
  <si>
    <t>Average of Cost Score</t>
  </si>
  <si>
    <t>Supplier Vs Vendor Score%</t>
  </si>
  <si>
    <t>Row Labels</t>
  </si>
  <si>
    <t>TOTAL VENDOR</t>
  </si>
  <si>
    <t>TOTAL SPEND</t>
  </si>
  <si>
    <t>AVERAGE OTD</t>
  </si>
  <si>
    <t>BEST VENDOR</t>
  </si>
  <si>
    <t>BEST OTD</t>
  </si>
  <si>
    <t>Spend</t>
  </si>
  <si>
    <t>Average of Fill Rate</t>
  </si>
  <si>
    <t>satt</t>
  </si>
  <si>
    <t>Spend%</t>
  </si>
  <si>
    <t>Cumulative%</t>
  </si>
  <si>
    <t>ABC Analysis</t>
  </si>
  <si>
    <t>Count</t>
  </si>
  <si>
    <t>A</t>
  </si>
  <si>
    <t>B</t>
  </si>
  <si>
    <t>C</t>
  </si>
  <si>
    <t>M</t>
  </si>
  <si>
    <t>N</t>
  </si>
  <si>
    <t>P</t>
  </si>
  <si>
    <t>Q</t>
  </si>
  <si>
    <t>Vendor Performance Scorecard</t>
  </si>
  <si>
    <t>ADVANCED VENDOR PERFORMANCE DASHBOARD</t>
  </si>
  <si>
    <t>Supplier Performance| Spend Analysis|Risk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</si>
</sst>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yyyy\-mm\-dd"/>
    <numFmt numFmtId="165" formatCode="&quot;₹&quot;\ #,##0.00"/>
    <numFmt numFmtId="172" formatCode="&quot;₹&quot;0.0,,&quot;M&quot;"/>
    <numFmt numFmtId="173" formatCode="&quot;₹&quot;\ 0.0,,&quot;M&quot;"/>
    <numFmt numFmtId="178" formatCode="&quot;₹&quot;0.00,,&quot;Cr&quot;"/>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28"/>
      <color theme="1"/>
      <name val="Aptos Narrow"/>
      <family val="2"/>
      <scheme val="minor"/>
    </font>
    <font>
      <b/>
      <sz val="14"/>
      <color theme="0"/>
      <name val="Cambria"/>
      <family val="1"/>
    </font>
    <font>
      <sz val="14"/>
      <color theme="0"/>
      <name val="Cambria"/>
      <family val="1"/>
    </font>
    <font>
      <b/>
      <sz val="18"/>
      <color theme="0"/>
      <name val="Cambria"/>
      <family val="1"/>
    </font>
    <font>
      <sz val="25"/>
      <color theme="1"/>
      <name val="Aptos Narrow"/>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DBF0F9"/>
        <bgColor indexed="64"/>
      </patternFill>
    </fill>
    <fill>
      <patternFill patternType="solid">
        <fgColor theme="3" tint="0.89999084444715716"/>
        <bgColor indexed="64"/>
      </patternFill>
    </fill>
    <fill>
      <patternFill patternType="solid">
        <fgColor theme="7" tint="0.39997558519241921"/>
        <bgColor indexed="64"/>
      </patternFill>
    </fill>
  </fills>
  <borders count="10">
    <border>
      <left/>
      <right/>
      <top/>
      <bottom/>
      <diagonal/>
    </border>
    <border>
      <left/>
      <right/>
      <top style="thin">
        <color theme="4" tint="0.39997558519241921"/>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50">
    <xf numFmtId="0" fontId="0" fillId="0" borderId="0" xfId="0"/>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left"/>
    </xf>
    <xf numFmtId="9" fontId="0" fillId="0" borderId="0" xfId="1" applyFont="1"/>
    <xf numFmtId="9" fontId="0" fillId="0" borderId="0" xfId="0" applyNumberFormat="1"/>
    <xf numFmtId="0" fontId="0" fillId="0" borderId="0" xfId="1" applyNumberFormat="1" applyFont="1"/>
    <xf numFmtId="14" fontId="0" fillId="0" borderId="0" xfId="0" applyNumberFormat="1"/>
    <xf numFmtId="0" fontId="3" fillId="0" borderId="0" xfId="0" applyFont="1"/>
    <xf numFmtId="0" fontId="5" fillId="0" borderId="0" xfId="0" applyFont="1"/>
    <xf numFmtId="0" fontId="6" fillId="0" borderId="0" xfId="0" applyFont="1" applyAlignment="1">
      <alignment vertical="center"/>
    </xf>
    <xf numFmtId="9" fontId="2" fillId="2" borderId="1" xfId="0" applyNumberFormat="1" applyFont="1" applyFill="1" applyBorder="1"/>
    <xf numFmtId="165" fontId="0" fillId="0" borderId="0" xfId="0" applyNumberFormat="1"/>
    <xf numFmtId="0" fontId="4" fillId="3" borderId="0" xfId="0" applyFont="1" applyFill="1" applyAlignment="1">
      <alignment horizontal="center" vertical="center"/>
    </xf>
    <xf numFmtId="9" fontId="6" fillId="3" borderId="0" xfId="0" applyNumberFormat="1" applyFont="1" applyFill="1" applyAlignment="1">
      <alignment horizontal="center" vertical="center"/>
    </xf>
    <xf numFmtId="0" fontId="4" fillId="3" borderId="0" xfId="0" applyFont="1" applyFill="1" applyAlignment="1">
      <alignment horizontal="center" vertical="center" wrapText="1"/>
    </xf>
    <xf numFmtId="0" fontId="6" fillId="3" borderId="0" xfId="0" applyFont="1" applyFill="1" applyAlignment="1">
      <alignment horizontal="center" vertical="center"/>
    </xf>
    <xf numFmtId="0" fontId="6" fillId="3" borderId="0" xfId="0" applyFont="1" applyFill="1" applyAlignment="1">
      <alignment horizontal="center" vertical="center" wrapText="1"/>
    </xf>
    <xf numFmtId="0" fontId="0" fillId="0" borderId="0" xfId="0" applyNumberFormat="1"/>
    <xf numFmtId="0" fontId="0" fillId="0" borderId="0" xfId="0" applyAlignment="1">
      <alignment horizontal="center"/>
    </xf>
    <xf numFmtId="0" fontId="0" fillId="0" borderId="0" xfId="0"/>
    <xf numFmtId="0" fontId="2" fillId="5" borderId="0" xfId="0" applyFont="1" applyFill="1" applyAlignment="1">
      <alignment horizontal="center" vertical="center"/>
    </xf>
    <xf numFmtId="9" fontId="2" fillId="5" borderId="0" xfId="0" applyNumberFormat="1" applyFont="1" applyFill="1" applyAlignment="1">
      <alignment horizontal="center" vertical="center"/>
    </xf>
    <xf numFmtId="0" fontId="2" fillId="0" borderId="0" xfId="0" applyFont="1" applyAlignment="1">
      <alignment horizontal="center" vertical="center"/>
    </xf>
    <xf numFmtId="0" fontId="2" fillId="5" borderId="0" xfId="0" applyFont="1" applyFill="1" applyAlignment="1">
      <alignment horizontal="center"/>
    </xf>
    <xf numFmtId="0" fontId="2" fillId="0" borderId="0" xfId="0" applyFont="1" applyAlignment="1">
      <alignment horizontal="center"/>
    </xf>
    <xf numFmtId="9" fontId="2" fillId="5" borderId="0" xfId="0" applyNumberFormat="1" applyFont="1" applyFill="1" applyAlignment="1">
      <alignment horizontal="center"/>
    </xf>
    <xf numFmtId="0" fontId="2" fillId="4" borderId="0" xfId="0" applyFont="1" applyFill="1" applyAlignment="1">
      <alignment horizontal="center" vertical="center"/>
    </xf>
    <xf numFmtId="0" fontId="2" fillId="0" borderId="0" xfId="0" applyFont="1" applyFill="1" applyAlignment="1">
      <alignment horizontal="center" vertical="center"/>
    </xf>
    <xf numFmtId="172" fontId="0" fillId="0" borderId="0" xfId="0" applyNumberFormat="1"/>
    <xf numFmtId="173" fontId="0" fillId="0" borderId="0" xfId="0" applyNumberFormat="1"/>
    <xf numFmtId="0" fontId="2" fillId="6" borderId="2" xfId="0" applyFont="1" applyFill="1" applyBorder="1" applyAlignment="1">
      <alignment horizontal="center" vertical="center"/>
    </xf>
    <xf numFmtId="173" fontId="2" fillId="6" borderId="3" xfId="0" applyNumberFormat="1" applyFont="1" applyFill="1" applyBorder="1" applyAlignment="1">
      <alignment horizontal="center" vertical="center"/>
    </xf>
    <xf numFmtId="0" fontId="2" fillId="6" borderId="3" xfId="0" applyFont="1" applyFill="1" applyBorder="1" applyAlignment="1">
      <alignment horizontal="center" vertical="center"/>
    </xf>
    <xf numFmtId="9" fontId="2" fillId="6" borderId="3" xfId="1" applyFont="1" applyFill="1" applyBorder="1" applyAlignment="1">
      <alignment horizontal="center" vertical="center"/>
    </xf>
    <xf numFmtId="9" fontId="2" fillId="6" borderId="4" xfId="1" applyFont="1" applyFill="1" applyBorder="1" applyAlignment="1">
      <alignment horizontal="center" vertic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2" fillId="4" borderId="7" xfId="0" applyFont="1" applyFill="1" applyBorder="1" applyAlignment="1">
      <alignment horizontal="center"/>
    </xf>
    <xf numFmtId="9" fontId="0" fillId="0" borderId="0" xfId="1" applyNumberFormat="1" applyFont="1"/>
    <xf numFmtId="0" fontId="2" fillId="0" borderId="0" xfId="0" applyFont="1" applyAlignment="1">
      <alignment horizontal="center" vertical="center" wrapText="1"/>
    </xf>
    <xf numFmtId="9" fontId="0" fillId="0" borderId="0" xfId="0" applyNumberFormat="1" applyAlignment="1">
      <alignment vertical="center" wrapText="1"/>
    </xf>
    <xf numFmtId="178" fontId="2" fillId="5" borderId="0" xfId="2" applyNumberFormat="1" applyFont="1" applyFill="1" applyAlignment="1">
      <alignment horizontal="center" vertical="center"/>
    </xf>
    <xf numFmtId="0" fontId="7" fillId="4" borderId="0" xfId="0" applyFont="1" applyFill="1" applyAlignment="1">
      <alignment horizontal="center"/>
    </xf>
    <xf numFmtId="0" fontId="7" fillId="8" borderId="0" xfId="0" applyFont="1" applyFill="1" applyAlignment="1">
      <alignment horizontal="center"/>
    </xf>
    <xf numFmtId="0" fontId="2" fillId="7" borderId="8" xfId="0" applyFont="1" applyFill="1" applyBorder="1" applyAlignment="1">
      <alignment horizontal="center"/>
    </xf>
    <xf numFmtId="0" fontId="2" fillId="7" borderId="9" xfId="0" applyFont="1" applyFill="1" applyBorder="1" applyAlignment="1">
      <alignment horizontal="center"/>
    </xf>
    <xf numFmtId="0" fontId="7" fillId="0" borderId="0" xfId="0" applyFont="1" applyFill="1" applyAlignment="1"/>
  </cellXfs>
  <cellStyles count="3">
    <cellStyle name="Currency" xfId="2" builtinId="4"/>
    <cellStyle name="Normal" xfId="0" builtinId="0"/>
    <cellStyle name="Percent" xfId="1" builtinId="5"/>
  </cellStyles>
  <dxfs count="124">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173" formatCode="&quot;₹&quot;\ 0.0,,&quot;M&quot;"/>
    </dxf>
    <dxf>
      <numFmt numFmtId="165" formatCode="&quot;₹&quot;\ #,##0.00"/>
    </dxf>
    <dxf>
      <numFmt numFmtId="0" formatCode="General"/>
    </dxf>
    <dxf>
      <numFmt numFmtId="13" formatCode="0%"/>
    </dxf>
    <dxf>
      <numFmt numFmtId="172" formatCode="&quot;₹&quot;0.0,,&quot;M&quot;"/>
    </dxf>
    <dxf>
      <numFmt numFmtId="0" formatCode="General"/>
    </dxf>
    <dxf>
      <numFmt numFmtId="13" formatCode="0%"/>
    </dxf>
    <dxf>
      <numFmt numFmtId="0" formatCode="General"/>
    </dxf>
    <dxf>
      <numFmt numFmtId="0" formatCode="General"/>
    </dxf>
    <dxf>
      <numFmt numFmtId="13" formatCode="0%"/>
    </dxf>
    <dxf>
      <font>
        <b val="0"/>
        <i val="0"/>
        <strike val="0"/>
        <condense val="0"/>
        <extend val="0"/>
        <outline val="0"/>
        <shadow val="0"/>
        <u val="none"/>
        <vertAlign val="baseline"/>
        <sz val="11"/>
        <color theme="1"/>
        <name val="Aptos Narrow"/>
        <family val="2"/>
        <scheme val="minor"/>
      </font>
      <numFmt numFmtId="0" formatCode="General"/>
    </dxf>
    <dxf>
      <numFmt numFmtId="13" formatCode="0%"/>
    </dxf>
    <dxf>
      <numFmt numFmtId="164" formatCode="yyyy\-mm\-dd"/>
    </dxf>
    <dxf>
      <numFmt numFmtId="164" formatCode="yyyy\-mm\-dd"/>
    </dxf>
    <dxf>
      <numFmt numFmtId="19" formatCode="dd/mm/yyyy"/>
    </dxf>
    <dxf>
      <numFmt numFmtId="19" formatCode="dd/mm/yyyy"/>
    </dxf>
  </dxfs>
  <tableStyles count="0" defaultTableStyle="TableStyleMedium2" defaultPivotStyle="PivotStyleLight16"/>
  <colors>
    <mruColors>
      <color rgb="FFDBF0F9"/>
      <color rgb="FFFFE79B"/>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 TABLE!PivotTable20</c:name>
    <c:fmtId val="5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Supplier Performance Ranking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7523E-3"/>
              <c:y val="-1.8587780694079865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523E-3"/>
              <c:y val="-1.8587780694079865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TABLE'!$H$32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TABLE'!$G$33:$G$43</c:f>
              <c:strCache>
                <c:ptCount val="10"/>
                <c:pt idx="0">
                  <c:v>Vertex Solutions</c:v>
                </c:pt>
                <c:pt idx="1">
                  <c:v>Alpha Electronics</c:v>
                </c:pt>
                <c:pt idx="2">
                  <c:v>Epsilon Systems</c:v>
                </c:pt>
                <c:pt idx="3">
                  <c:v>Nexus Parts</c:v>
                </c:pt>
                <c:pt idx="4">
                  <c:v>Gamma Technologies</c:v>
                </c:pt>
                <c:pt idx="5">
                  <c:v>Beta Components</c:v>
                </c:pt>
                <c:pt idx="6">
                  <c:v>Delta Supplies</c:v>
                </c:pt>
                <c:pt idx="7">
                  <c:v>Prime Circuits</c:v>
                </c:pt>
                <c:pt idx="8">
                  <c:v>Zenith Manufacturing</c:v>
                </c:pt>
                <c:pt idx="9">
                  <c:v>Omega Industries</c:v>
                </c:pt>
              </c:strCache>
            </c:strRef>
          </c:cat>
          <c:val>
            <c:numRef>
              <c:f>'PIVOT TABLE'!$H$33:$H$43</c:f>
              <c:numCache>
                <c:formatCode>0%</c:formatCode>
                <c:ptCount val="10"/>
                <c:pt idx="0">
                  <c:v>0.88863758882949972</c:v>
                </c:pt>
                <c:pt idx="1">
                  <c:v>0.87919470850957127</c:v>
                </c:pt>
                <c:pt idx="2">
                  <c:v>0.87704247600186858</c:v>
                </c:pt>
                <c:pt idx="3">
                  <c:v>0.85802545440193301</c:v>
                </c:pt>
                <c:pt idx="4">
                  <c:v>0.84137420489695713</c:v>
                </c:pt>
                <c:pt idx="5">
                  <c:v>0.8395226252091138</c:v>
                </c:pt>
                <c:pt idx="6">
                  <c:v>0.83269458056157974</c:v>
                </c:pt>
                <c:pt idx="7">
                  <c:v>0.83200832941753355</c:v>
                </c:pt>
                <c:pt idx="8">
                  <c:v>0.79445123502116366</c:v>
                </c:pt>
                <c:pt idx="9">
                  <c:v>0.723579968130457</c:v>
                </c:pt>
              </c:numCache>
            </c:numRef>
          </c:val>
          <c:extLst>
            <c:ext xmlns:c16="http://schemas.microsoft.com/office/drawing/2014/chart" uri="{C3380CC4-5D6E-409C-BE32-E72D297353CC}">
              <c16:uniqueId val="{00000001-FEFC-4C92-B86D-ABAD13CCADC8}"/>
            </c:ext>
          </c:extLst>
        </c:ser>
        <c:dLbls>
          <c:dLblPos val="outEnd"/>
          <c:showLegendKey val="0"/>
          <c:showVal val="1"/>
          <c:showCatName val="0"/>
          <c:showSerName val="0"/>
          <c:showPercent val="0"/>
          <c:showBubbleSize val="0"/>
        </c:dLbls>
        <c:gapWidth val="100"/>
        <c:axId val="362338703"/>
        <c:axId val="2050318959"/>
      </c:barChart>
      <c:catAx>
        <c:axId val="362338703"/>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318959"/>
        <c:crosses val="autoZero"/>
        <c:auto val="1"/>
        <c:lblAlgn val="ctr"/>
        <c:lblOffset val="100"/>
        <c:noMultiLvlLbl val="0"/>
      </c:catAx>
      <c:valAx>
        <c:axId val="2050318959"/>
        <c:scaling>
          <c:orientation val="minMax"/>
        </c:scaling>
        <c:delete val="1"/>
        <c:axPos val="t"/>
        <c:majorGridlines>
          <c:spPr>
            <a:ln w="9525" cap="flat" cmpd="sng" algn="ctr">
              <a:solidFill>
                <a:schemeClr val="accent1">
                  <a:alpha val="0"/>
                </a:schemeClr>
              </a:solidFill>
              <a:round/>
            </a:ln>
            <a:effectLst/>
          </c:spPr>
        </c:majorGridlines>
        <c:numFmt formatCode="0%" sourceLinked="1"/>
        <c:majorTickMark val="none"/>
        <c:minorTickMark val="none"/>
        <c:tickLblPos val="nextTo"/>
        <c:crossAx val="362338703"/>
        <c:crosses val="autoZero"/>
        <c:crossBetween val="between"/>
      </c:valAx>
      <c:spPr>
        <a:noFill/>
        <a:ln>
          <a:solidFill>
            <a:schemeClr val="accent1">
              <a:alpha val="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On-Time Delivery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TABLE'!$A$34:$A$44</c:f>
              <c:strCache>
                <c:ptCount val="10"/>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strCache>
            </c:strRef>
          </c:cat>
          <c:val>
            <c:numRef>
              <c:f>'PIVOT TABLE'!$B$34:$B$44</c:f>
              <c:numCache>
                <c:formatCode>0%</c:formatCode>
                <c:ptCount val="10"/>
                <c:pt idx="0">
                  <c:v>0.97872340425531912</c:v>
                </c:pt>
                <c:pt idx="1">
                  <c:v>0.95918367346938771</c:v>
                </c:pt>
                <c:pt idx="2">
                  <c:v>0.95238095238095233</c:v>
                </c:pt>
                <c:pt idx="3">
                  <c:v>0.92982456140350878</c:v>
                </c:pt>
                <c:pt idx="4">
                  <c:v>0.89830508474576276</c:v>
                </c:pt>
                <c:pt idx="5">
                  <c:v>0.89655172413793105</c:v>
                </c:pt>
                <c:pt idx="6">
                  <c:v>0.88095238095238093</c:v>
                </c:pt>
                <c:pt idx="7">
                  <c:v>0.8571428571428571</c:v>
                </c:pt>
                <c:pt idx="8">
                  <c:v>0.7857142857142857</c:v>
                </c:pt>
                <c:pt idx="9">
                  <c:v>0.64583333333333337</c:v>
                </c:pt>
              </c:numCache>
            </c:numRef>
          </c:val>
          <c:extLst>
            <c:ext xmlns:c16="http://schemas.microsoft.com/office/drawing/2014/chart" uri="{C3380CC4-5D6E-409C-BE32-E72D297353CC}">
              <c16:uniqueId val="{00000000-3C6B-4775-92A1-FE78713511A8}"/>
            </c:ext>
          </c:extLst>
        </c:ser>
        <c:dLbls>
          <c:showLegendKey val="0"/>
          <c:showVal val="1"/>
          <c:showCatName val="0"/>
          <c:showSerName val="0"/>
          <c:showPercent val="0"/>
          <c:showBubbleSize val="0"/>
        </c:dLbls>
        <c:gapWidth val="150"/>
        <c:overlap val="100"/>
        <c:axId val="1795143376"/>
        <c:axId val="1590345360"/>
      </c:barChart>
      <c:catAx>
        <c:axId val="1795143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345360"/>
        <c:crosses val="autoZero"/>
        <c:auto val="1"/>
        <c:lblAlgn val="ctr"/>
        <c:lblOffset val="100"/>
        <c:noMultiLvlLbl val="0"/>
      </c:catAx>
      <c:valAx>
        <c:axId val="15903453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514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Supplier Spend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TABLE'!$G$18:$G$28</c:f>
              <c:strCache>
                <c:ptCount val="10"/>
                <c:pt idx="0">
                  <c:v>Delta Supplies</c:v>
                </c:pt>
                <c:pt idx="1">
                  <c:v>Nexus Parts</c:v>
                </c:pt>
                <c:pt idx="2">
                  <c:v>Vertex Solutions</c:v>
                </c:pt>
                <c:pt idx="3">
                  <c:v>Gamma Technologies</c:v>
                </c:pt>
                <c:pt idx="4">
                  <c:v>Epsilon Systems</c:v>
                </c:pt>
                <c:pt idx="5">
                  <c:v>Zenith Manufacturing</c:v>
                </c:pt>
                <c:pt idx="6">
                  <c:v>Beta Components</c:v>
                </c:pt>
                <c:pt idx="7">
                  <c:v>Omega Industries</c:v>
                </c:pt>
                <c:pt idx="8">
                  <c:v>Alpha Electronics</c:v>
                </c:pt>
                <c:pt idx="9">
                  <c:v>Prime Circuits</c:v>
                </c:pt>
              </c:strCache>
            </c:strRef>
          </c:cat>
          <c:val>
            <c:numRef>
              <c:f>'PIVOT TABLE'!$H$18:$H$28</c:f>
              <c:numCache>
                <c:formatCode>"₹"0.0,,"M"</c:formatCode>
                <c:ptCount val="10"/>
                <c:pt idx="0">
                  <c:v>17650262</c:v>
                </c:pt>
                <c:pt idx="1">
                  <c:v>17143945</c:v>
                </c:pt>
                <c:pt idx="2">
                  <c:v>17079564</c:v>
                </c:pt>
                <c:pt idx="3">
                  <c:v>16822670</c:v>
                </c:pt>
                <c:pt idx="4">
                  <c:v>16584907</c:v>
                </c:pt>
                <c:pt idx="5">
                  <c:v>15824235</c:v>
                </c:pt>
                <c:pt idx="6">
                  <c:v>14904559</c:v>
                </c:pt>
                <c:pt idx="7">
                  <c:v>13662668</c:v>
                </c:pt>
                <c:pt idx="8">
                  <c:v>12712598</c:v>
                </c:pt>
                <c:pt idx="9">
                  <c:v>10735271</c:v>
                </c:pt>
              </c:numCache>
            </c:numRef>
          </c:val>
          <c:extLst>
            <c:ext xmlns:c16="http://schemas.microsoft.com/office/drawing/2014/chart" uri="{C3380CC4-5D6E-409C-BE32-E72D297353CC}">
              <c16:uniqueId val="{00000000-5E62-4088-B7E0-4BB98507A903}"/>
            </c:ext>
          </c:extLst>
        </c:ser>
        <c:dLbls>
          <c:showLegendKey val="0"/>
          <c:showVal val="0"/>
          <c:showCatName val="0"/>
          <c:showSerName val="0"/>
          <c:showPercent val="0"/>
          <c:showBubbleSize val="0"/>
        </c:dLbls>
        <c:gapWidth val="115"/>
        <c:overlap val="-20"/>
        <c:axId val="1785794768"/>
        <c:axId val="1936833872"/>
      </c:barChart>
      <c:catAx>
        <c:axId val="1785794768"/>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833872"/>
        <c:crosses val="autoZero"/>
        <c:auto val="1"/>
        <c:lblAlgn val="ctr"/>
        <c:lblOffset val="100"/>
        <c:noMultiLvlLbl val="0"/>
      </c:catAx>
      <c:valAx>
        <c:axId val="1936833872"/>
        <c:scaling>
          <c:orientation val="minMax"/>
        </c:scaling>
        <c:delete val="0"/>
        <c:axPos val="t"/>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579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ABC Spend Classification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'PIVOT TABLE'!$Q$7</c:f>
              <c:strCache>
                <c:ptCount val="1"/>
                <c:pt idx="0">
                  <c:v>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B0-4DD0-BF9D-6F0DE0355DE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B0-4DD0-BF9D-6F0DE0355DE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6B0-4DD0-BF9D-6F0DE0355D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TABLE'!$P$8:$P$10</c:f>
              <c:strCache>
                <c:ptCount val="3"/>
                <c:pt idx="0">
                  <c:v>A</c:v>
                </c:pt>
                <c:pt idx="1">
                  <c:v>B</c:v>
                </c:pt>
                <c:pt idx="2">
                  <c:v>C</c:v>
                </c:pt>
              </c:strCache>
            </c:strRef>
          </c:cat>
          <c:val>
            <c:numRef>
              <c:f>'PIVOT TABLE'!$Q$8:$Q$10</c:f>
              <c:numCache>
                <c:formatCode>General</c:formatCode>
                <c:ptCount val="3"/>
                <c:pt idx="0">
                  <c:v>6</c:v>
                </c:pt>
                <c:pt idx="1">
                  <c:v>2</c:v>
                </c:pt>
                <c:pt idx="2">
                  <c:v>2</c:v>
                </c:pt>
              </c:numCache>
            </c:numRef>
          </c:val>
          <c:extLst>
            <c:ext xmlns:c16="http://schemas.microsoft.com/office/drawing/2014/chart" uri="{C3380CC4-5D6E-409C-BE32-E72D297353CC}">
              <c16:uniqueId val="{00000006-06B0-4DD0-BF9D-6F0DE0355DE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Vendor </a:t>
            </a:r>
            <a:r>
              <a:rPr lang="en-IN" b="1"/>
              <a:t>Performance</a:t>
            </a:r>
            <a:r>
              <a:rPr lang="en-IN"/>
              <a: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'PIVOT TABLE'!$J$46</c:f>
              <c:strCache>
                <c:ptCount val="1"/>
                <c:pt idx="0">
                  <c:v>Average of OTD</c:v>
                </c:pt>
              </c:strCache>
            </c:strRef>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strRef>
              <c:f>'PIVOT TABLE'!$I$47:$I$57</c:f>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xVal>
          <c:yVal>
            <c:numRef>
              <c:f>'PIVOT TABLE'!$J$47:$J$57</c:f>
              <c:numCache>
                <c:formatCode>0%</c:formatCode>
                <c:ptCount val="11"/>
                <c:pt idx="0">
                  <c:v>0.97872340425531912</c:v>
                </c:pt>
                <c:pt idx="1">
                  <c:v>0.95918367346938771</c:v>
                </c:pt>
                <c:pt idx="2">
                  <c:v>0.95238095238095233</c:v>
                </c:pt>
                <c:pt idx="3">
                  <c:v>0.92982456140350878</c:v>
                </c:pt>
                <c:pt idx="4">
                  <c:v>0.89830508474576276</c:v>
                </c:pt>
                <c:pt idx="5">
                  <c:v>0.89655172413793105</c:v>
                </c:pt>
                <c:pt idx="6">
                  <c:v>0.88095238095238093</c:v>
                </c:pt>
                <c:pt idx="7">
                  <c:v>0.8571428571428571</c:v>
                </c:pt>
                <c:pt idx="8">
                  <c:v>0.7857142857142857</c:v>
                </c:pt>
                <c:pt idx="9">
                  <c:v>0.64583333333333337</c:v>
                </c:pt>
                <c:pt idx="10">
                  <c:v>0.878</c:v>
                </c:pt>
              </c:numCache>
            </c:numRef>
          </c:yVal>
          <c:smooth val="0"/>
          <c:extLst>
            <c:ext xmlns:c16="http://schemas.microsoft.com/office/drawing/2014/chart" uri="{C3380CC4-5D6E-409C-BE32-E72D297353CC}">
              <c16:uniqueId val="{00000000-7BAC-4D22-9029-2DCA4BA31942}"/>
            </c:ext>
          </c:extLst>
        </c:ser>
        <c:ser>
          <c:idx val="1"/>
          <c:order val="1"/>
          <c:tx>
            <c:strRef>
              <c:f>'PIVOT TABLE'!$K$46</c:f>
              <c:strCache>
                <c:ptCount val="1"/>
                <c:pt idx="0">
                  <c:v>Average of Quality Rate</c:v>
                </c:pt>
              </c:strCache>
            </c:strRef>
          </c:tx>
          <c:spPr>
            <a:ln w="95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strRef>
              <c:f>'PIVOT TABLE'!$I$47:$I$57</c:f>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xVal>
          <c:yVal>
            <c:numRef>
              <c:f>'PIVOT TABLE'!$K$47:$K$57</c:f>
              <c:numCache>
                <c:formatCode>0%</c:formatCode>
                <c:ptCount val="11"/>
                <c:pt idx="0">
                  <c:v>0.98814565584689218</c:v>
                </c:pt>
                <c:pt idx="1">
                  <c:v>0.97841745107356104</c:v>
                </c:pt>
                <c:pt idx="2">
                  <c:v>0.98703947003178816</c:v>
                </c:pt>
                <c:pt idx="3">
                  <c:v>0.95726241049440819</c:v>
                </c:pt>
                <c:pt idx="4">
                  <c:v>0.93784884761068321</c:v>
                </c:pt>
                <c:pt idx="5">
                  <c:v>0.90815693933449537</c:v>
                </c:pt>
                <c:pt idx="6">
                  <c:v>0.96800494442260154</c:v>
                </c:pt>
                <c:pt idx="7">
                  <c:v>0.94802116212337662</c:v>
                </c:pt>
                <c:pt idx="8">
                  <c:v>0.92805106263770398</c:v>
                </c:pt>
                <c:pt idx="9">
                  <c:v>0.87861385004909887</c:v>
                </c:pt>
                <c:pt idx="10">
                  <c:v>0.94605704268470947</c:v>
                </c:pt>
              </c:numCache>
            </c:numRef>
          </c:yVal>
          <c:smooth val="0"/>
          <c:extLst>
            <c:ext xmlns:c16="http://schemas.microsoft.com/office/drawing/2014/chart" uri="{C3380CC4-5D6E-409C-BE32-E72D297353CC}">
              <c16:uniqueId val="{00000001-7BAC-4D22-9029-2DCA4BA31942}"/>
            </c:ext>
          </c:extLst>
        </c:ser>
        <c:dLbls>
          <c:dLblPos val="t"/>
          <c:showLegendKey val="0"/>
          <c:showVal val="1"/>
          <c:showCatName val="0"/>
          <c:showSerName val="0"/>
          <c:showPercent val="0"/>
          <c:showBubbleSize val="0"/>
        </c:dLbls>
        <c:axId val="86336288"/>
        <c:axId val="1936753712"/>
      </c:scatterChart>
      <c:valAx>
        <c:axId val="86336288"/>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6753712"/>
        <c:crosses val="autoZero"/>
        <c:crossBetween val="midCat"/>
      </c:valAx>
      <c:valAx>
        <c:axId val="193675371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3362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511913191043458E-2"/>
          <c:y val="2.8434436322519883E-2"/>
          <c:w val="0.92132691451636184"/>
          <c:h val="0.90390761335156855"/>
        </c:manualLayout>
      </c:layout>
      <c:scatterChart>
        <c:scatterStyle val="lineMarker"/>
        <c:varyColors val="0"/>
        <c:ser>
          <c:idx val="0"/>
          <c:order val="0"/>
          <c:tx>
            <c:strRef>
              <c:f>'PIVOT TABLE'!$K$46</c:f>
              <c:strCache>
                <c:ptCount val="1"/>
                <c:pt idx="0">
                  <c:v>Average of Quality Rate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Lbl>
              <c:idx val="0"/>
              <c:tx>
                <c:rich>
                  <a:bodyPr/>
                  <a:lstStyle/>
                  <a:p>
                    <a:fld id="{78A5FB03-E491-4C46-A0AD-33EEA64CFF02}" type="CELLREF">
                      <a:rPr lang="en-US"/>
                      <a:pPr/>
                      <a:t>[CELLREF]</a:t>
                    </a:fld>
                    <a:endParaRPr lang="en-IN"/>
                  </a:p>
                </c:rich>
              </c:tx>
              <c:showLegendKey val="0"/>
              <c:showVal val="1"/>
              <c:showCatName val="0"/>
              <c:showSerName val="0"/>
              <c:showPercent val="0"/>
              <c:showBubbleSize val="0"/>
              <c:extLst>
                <c:ext xmlns:c15="http://schemas.microsoft.com/office/drawing/2012/chart" uri="{CE6537A1-D6FC-4f65-9D91-7224C49458BB}">
                  <c15:dlblFieldTable>
                    <c15:dlblFTEntry>
                      <c15:txfldGUID>{78A5FB03-E491-4C46-A0AD-33EEA64CFF02}</c15:txfldGUID>
                      <c15:f>'PIVOT TABLE'!$I$47</c15:f>
                      <c15:dlblFieldTableCache>
                        <c:ptCount val="1"/>
                        <c:pt idx="0">
                          <c:v>Vertex Solutions</c:v>
                        </c:pt>
                      </c15:dlblFieldTableCache>
                    </c15:dlblFTEntry>
                  </c15:dlblFieldTable>
                  <c15:showDataLabelsRange val="0"/>
                </c:ext>
                <c:ext xmlns:c16="http://schemas.microsoft.com/office/drawing/2014/chart" uri="{C3380CC4-5D6E-409C-BE32-E72D297353CC}">
                  <c16:uniqueId val="{0000002F-C05B-4292-8109-7710A0B776D8}"/>
                </c:ext>
              </c:extLst>
            </c:dLbl>
            <c:dLbl>
              <c:idx val="1"/>
              <c:tx>
                <c:rich>
                  <a:bodyPr/>
                  <a:lstStyle/>
                  <a:p>
                    <a:fld id="{4890B485-0A11-4EE6-9C47-C57521928DD5}" type="CELLREF">
                      <a:rPr lang="en-US"/>
                      <a:pPr/>
                      <a:t>[CELLREF]</a:t>
                    </a:fld>
                    <a:endParaRPr lang="en-IN"/>
                  </a:p>
                </c:rich>
              </c:tx>
              <c:showLegendKey val="0"/>
              <c:showVal val="1"/>
              <c:showCatName val="0"/>
              <c:showSerName val="0"/>
              <c:showPercent val="0"/>
              <c:showBubbleSize val="0"/>
              <c:extLst>
                <c:ext xmlns:c15="http://schemas.microsoft.com/office/drawing/2012/chart" uri="{CE6537A1-D6FC-4f65-9D91-7224C49458BB}">
                  <c15:dlblFieldTable>
                    <c15:dlblFTEntry>
                      <c15:txfldGUID>{4890B485-0A11-4EE6-9C47-C57521928DD5}</c15:txfldGUID>
                      <c15:f>'PIVOT TABLE'!$I$48</c15:f>
                      <c15:dlblFieldTableCache>
                        <c:ptCount val="1"/>
                        <c:pt idx="0">
                          <c:v>Epsilon Systems</c:v>
                        </c:pt>
                      </c15:dlblFieldTableCache>
                    </c15:dlblFTEntry>
                  </c15:dlblFieldTable>
                  <c15:showDataLabelsRange val="0"/>
                </c:ext>
                <c:ext xmlns:c16="http://schemas.microsoft.com/office/drawing/2014/chart" uri="{C3380CC4-5D6E-409C-BE32-E72D297353CC}">
                  <c16:uniqueId val="{00000000-C05B-4292-8109-7710A0B776D8}"/>
                </c:ext>
              </c:extLst>
            </c:dLbl>
            <c:dLbl>
              <c:idx val="2"/>
              <c:layout>
                <c:manualLayout>
                  <c:x val="-5.4501561051631744E-2"/>
                  <c:y val="-3.4684164721561717E-2"/>
                </c:manualLayout>
              </c:layout>
              <c:tx>
                <c:rich>
                  <a:bodyPr/>
                  <a:lstStyle/>
                  <a:p>
                    <a:fld id="{AA7EF562-15B3-4CB4-91E3-C73831E77B42}" type="CELLREF">
                      <a:rPr lang="en-US"/>
                      <a:pPr/>
                      <a:t>[CELLREF]</a:t>
                    </a:fld>
                    <a:endParaRPr lang="en-IN"/>
                  </a:p>
                </c:rich>
              </c:tx>
              <c:showLegendKey val="0"/>
              <c:showVal val="1"/>
              <c:showCatName val="0"/>
              <c:showSerName val="0"/>
              <c:showPercent val="0"/>
              <c:showBubbleSize val="0"/>
              <c:extLst>
                <c:ext xmlns:c15="http://schemas.microsoft.com/office/drawing/2012/chart" uri="{CE6537A1-D6FC-4f65-9D91-7224C49458BB}">
                  <c15:dlblFieldTable>
                    <c15:dlblFTEntry>
                      <c15:txfldGUID>{AA7EF562-15B3-4CB4-91E3-C73831E77B42}</c15:txfldGUID>
                      <c15:f>'PIVOT TABLE'!$I$49</c15:f>
                      <c15:dlblFieldTableCache>
                        <c:ptCount val="1"/>
                        <c:pt idx="0">
                          <c:v>Alpha Electronics</c:v>
                        </c:pt>
                      </c15:dlblFieldTableCache>
                    </c15:dlblFTEntry>
                  </c15:dlblFieldTable>
                  <c15:showDataLabelsRange val="0"/>
                </c:ext>
                <c:ext xmlns:c16="http://schemas.microsoft.com/office/drawing/2014/chart" uri="{C3380CC4-5D6E-409C-BE32-E72D297353CC}">
                  <c16:uniqueId val="{00000001-C05B-4292-8109-7710A0B776D8}"/>
                </c:ext>
              </c:extLst>
            </c:dLbl>
            <c:dLbl>
              <c:idx val="3"/>
              <c:tx>
                <c:rich>
                  <a:bodyPr/>
                  <a:lstStyle/>
                  <a:p>
                    <a:fld id="{ECA1E945-3562-44FD-8292-ECD982DFC5B3}" type="CELLREF">
                      <a:rPr lang="en-US"/>
                      <a:pPr/>
                      <a:t>[CELLREF]</a:t>
                    </a:fld>
                    <a:endParaRPr lang="en-IN"/>
                  </a:p>
                </c:rich>
              </c:tx>
              <c:showLegendKey val="0"/>
              <c:showVal val="1"/>
              <c:showCatName val="0"/>
              <c:showSerName val="0"/>
              <c:showPercent val="0"/>
              <c:showBubbleSize val="0"/>
              <c:extLst>
                <c:ext xmlns:c15="http://schemas.microsoft.com/office/drawing/2012/chart" uri="{CE6537A1-D6FC-4f65-9D91-7224C49458BB}">
                  <c15:dlblFieldTable>
                    <c15:dlblFTEntry>
                      <c15:txfldGUID>{ECA1E945-3562-44FD-8292-ECD982DFC5B3}</c15:txfldGUID>
                      <c15:f>'PIVOT TABLE'!$I$50</c15:f>
                      <c15:dlblFieldTableCache>
                        <c:ptCount val="1"/>
                        <c:pt idx="0">
                          <c:v>Nexus Parts</c:v>
                        </c:pt>
                      </c15:dlblFieldTableCache>
                    </c15:dlblFTEntry>
                  </c15:dlblFieldTable>
                  <c15:showDataLabelsRange val="0"/>
                </c:ext>
                <c:ext xmlns:c16="http://schemas.microsoft.com/office/drawing/2014/chart" uri="{C3380CC4-5D6E-409C-BE32-E72D297353CC}">
                  <c16:uniqueId val="{00000002-C05B-4292-8109-7710A0B776D8}"/>
                </c:ext>
              </c:extLst>
            </c:dLbl>
            <c:dLbl>
              <c:idx val="4"/>
              <c:tx>
                <c:rich>
                  <a:bodyPr/>
                  <a:lstStyle/>
                  <a:p>
                    <a:fld id="{1BAD4F77-C62C-4CAD-97E2-DBF38676FD93}" type="CELLREF">
                      <a:rPr lang="en-US"/>
                      <a:pPr/>
                      <a:t>[CELLREF]</a:t>
                    </a:fld>
                    <a:endParaRPr lang="en-IN"/>
                  </a:p>
                </c:rich>
              </c:tx>
              <c:showLegendKey val="0"/>
              <c:showVal val="1"/>
              <c:showCatName val="0"/>
              <c:showSerName val="0"/>
              <c:showPercent val="0"/>
              <c:showBubbleSize val="0"/>
              <c:extLst>
                <c:ext xmlns:c15="http://schemas.microsoft.com/office/drawing/2012/chart" uri="{CE6537A1-D6FC-4f65-9D91-7224C49458BB}">
                  <c15:dlblFieldTable>
                    <c15:dlblFTEntry>
                      <c15:txfldGUID>{1BAD4F77-C62C-4CAD-97E2-DBF38676FD93}</c15:txfldGUID>
                      <c15:f>'PIVOT TABLE'!$I$51</c15:f>
                      <c15:dlblFieldTableCache>
                        <c:ptCount val="1"/>
                        <c:pt idx="0">
                          <c:v>Gamma Technologies</c:v>
                        </c:pt>
                      </c15:dlblFieldTableCache>
                    </c15:dlblFTEntry>
                  </c15:dlblFieldTable>
                  <c15:showDataLabelsRange val="0"/>
                </c:ext>
                <c:ext xmlns:c16="http://schemas.microsoft.com/office/drawing/2014/chart" uri="{C3380CC4-5D6E-409C-BE32-E72D297353CC}">
                  <c16:uniqueId val="{0000002D-C05B-4292-8109-7710A0B776D8}"/>
                </c:ext>
              </c:extLst>
            </c:dLbl>
            <c:dLbl>
              <c:idx val="5"/>
              <c:tx>
                <c:rich>
                  <a:bodyPr/>
                  <a:lstStyle/>
                  <a:p>
                    <a:fld id="{8CD6F6FC-2C6F-43B5-999C-B721CF876D8A}" type="CELLREF">
                      <a:rPr lang="en-US"/>
                      <a:pPr/>
                      <a:t>[CELLREF]</a:t>
                    </a:fld>
                    <a:endParaRPr lang="en-IN"/>
                  </a:p>
                </c:rich>
              </c:tx>
              <c:showLegendKey val="0"/>
              <c:showVal val="1"/>
              <c:showCatName val="0"/>
              <c:showSerName val="0"/>
              <c:showPercent val="0"/>
              <c:showBubbleSize val="0"/>
              <c:extLst>
                <c:ext xmlns:c15="http://schemas.microsoft.com/office/drawing/2012/chart" uri="{CE6537A1-D6FC-4f65-9D91-7224C49458BB}">
                  <c15:dlblFieldTable>
                    <c15:dlblFTEntry>
                      <c15:txfldGUID>{8CD6F6FC-2C6F-43B5-999C-B721CF876D8A}</c15:txfldGUID>
                      <c15:f>'PIVOT TABLE'!$I$52</c15:f>
                      <c15:dlblFieldTableCache>
                        <c:ptCount val="1"/>
                        <c:pt idx="0">
                          <c:v>Delta Supplies</c:v>
                        </c:pt>
                      </c15:dlblFieldTableCache>
                    </c15:dlblFTEntry>
                  </c15:dlblFieldTable>
                  <c15:showDataLabelsRange val="0"/>
                </c:ext>
                <c:ext xmlns:c16="http://schemas.microsoft.com/office/drawing/2014/chart" uri="{C3380CC4-5D6E-409C-BE32-E72D297353CC}">
                  <c16:uniqueId val="{00000003-C05B-4292-8109-7710A0B776D8}"/>
                </c:ext>
              </c:extLst>
            </c:dLbl>
            <c:dLbl>
              <c:idx val="6"/>
              <c:tx>
                <c:rich>
                  <a:bodyPr/>
                  <a:lstStyle/>
                  <a:p>
                    <a:fld id="{AD5D2F9A-428D-4415-B524-02E437C3C8FB}" type="CELLREF">
                      <a:rPr lang="en-US"/>
                      <a:pPr/>
                      <a:t>[CELLREF]</a:t>
                    </a:fld>
                    <a:endParaRPr lang="en-IN"/>
                  </a:p>
                </c:rich>
              </c:tx>
              <c:showLegendKey val="0"/>
              <c:showVal val="1"/>
              <c:showCatName val="0"/>
              <c:showSerName val="0"/>
              <c:showPercent val="0"/>
              <c:showBubbleSize val="0"/>
              <c:extLst>
                <c:ext xmlns:c15="http://schemas.microsoft.com/office/drawing/2012/chart" uri="{CE6537A1-D6FC-4f65-9D91-7224C49458BB}">
                  <c15:dlblFieldTable>
                    <c15:dlblFTEntry>
                      <c15:txfldGUID>{AD5D2F9A-428D-4415-B524-02E437C3C8FB}</c15:txfldGUID>
                      <c15:f>'PIVOT TABLE'!$I$53</c15:f>
                      <c15:dlblFieldTableCache>
                        <c:ptCount val="1"/>
                        <c:pt idx="0">
                          <c:v>Beta Components</c:v>
                        </c:pt>
                      </c15:dlblFieldTableCache>
                    </c15:dlblFTEntry>
                  </c15:dlblFieldTable>
                  <c15:showDataLabelsRange val="0"/>
                </c:ext>
                <c:ext xmlns:c16="http://schemas.microsoft.com/office/drawing/2014/chart" uri="{C3380CC4-5D6E-409C-BE32-E72D297353CC}">
                  <c16:uniqueId val="{00000004-C05B-4292-8109-7710A0B776D8}"/>
                </c:ext>
              </c:extLst>
            </c:dLbl>
            <c:dLbl>
              <c:idx val="7"/>
              <c:tx>
                <c:rich>
                  <a:bodyPr/>
                  <a:lstStyle/>
                  <a:p>
                    <a:fld id="{84B964ED-5F18-4F77-A7E1-706FC418C2D3}" type="CELLREF">
                      <a:rPr lang="en-US"/>
                      <a:pPr/>
                      <a:t>[CELLREF]</a:t>
                    </a:fld>
                    <a:endParaRPr lang="en-IN"/>
                  </a:p>
                </c:rich>
              </c:tx>
              <c:showLegendKey val="0"/>
              <c:showVal val="1"/>
              <c:showCatName val="0"/>
              <c:showSerName val="0"/>
              <c:showPercent val="0"/>
              <c:showBubbleSize val="0"/>
              <c:extLst>
                <c:ext xmlns:c15="http://schemas.microsoft.com/office/drawing/2012/chart" uri="{CE6537A1-D6FC-4f65-9D91-7224C49458BB}">
                  <c15:dlblFieldTable>
                    <c15:dlblFTEntry>
                      <c15:txfldGUID>{84B964ED-5F18-4F77-A7E1-706FC418C2D3}</c15:txfldGUID>
                      <c15:f>'PIVOT TABLE'!$I$54</c15:f>
                      <c15:dlblFieldTableCache>
                        <c:ptCount val="1"/>
                        <c:pt idx="0">
                          <c:v>Prime Circuits</c:v>
                        </c:pt>
                      </c15:dlblFieldTableCache>
                    </c15:dlblFTEntry>
                  </c15:dlblFieldTable>
                  <c15:showDataLabelsRange val="0"/>
                </c:ext>
                <c:ext xmlns:c16="http://schemas.microsoft.com/office/drawing/2014/chart" uri="{C3380CC4-5D6E-409C-BE32-E72D297353CC}">
                  <c16:uniqueId val="{0000002E-C05B-4292-8109-7710A0B776D8}"/>
                </c:ext>
              </c:extLst>
            </c:dLbl>
            <c:dLbl>
              <c:idx val="8"/>
              <c:tx>
                <c:rich>
                  <a:bodyPr/>
                  <a:lstStyle/>
                  <a:p>
                    <a:fld id="{327E3DC8-BC6A-4993-9481-7324F35FEBD1}" type="CELLREF">
                      <a:rPr lang="en-US"/>
                      <a:pPr/>
                      <a:t>[CELLREF]</a:t>
                    </a:fld>
                    <a:endParaRPr lang="en-IN"/>
                  </a:p>
                </c:rich>
              </c:tx>
              <c:showLegendKey val="0"/>
              <c:showVal val="1"/>
              <c:showCatName val="0"/>
              <c:showSerName val="0"/>
              <c:showPercent val="0"/>
              <c:showBubbleSize val="0"/>
              <c:extLst>
                <c:ext xmlns:c15="http://schemas.microsoft.com/office/drawing/2012/chart" uri="{CE6537A1-D6FC-4f65-9D91-7224C49458BB}">
                  <c15:dlblFieldTable>
                    <c15:dlblFTEntry>
                      <c15:txfldGUID>{327E3DC8-BC6A-4993-9481-7324F35FEBD1}</c15:txfldGUID>
                      <c15:f>'PIVOT TABLE'!$I$55</c15:f>
                      <c15:dlblFieldTableCache>
                        <c:ptCount val="1"/>
                        <c:pt idx="0">
                          <c:v>Zenith Manufacturing</c:v>
                        </c:pt>
                      </c15:dlblFieldTableCache>
                    </c15:dlblFTEntry>
                  </c15:dlblFieldTable>
                  <c15:showDataLabelsRange val="0"/>
                </c:ext>
                <c:ext xmlns:c16="http://schemas.microsoft.com/office/drawing/2014/chart" uri="{C3380CC4-5D6E-409C-BE32-E72D297353CC}">
                  <c16:uniqueId val="{00000005-C05B-4292-8109-7710A0B776D8}"/>
                </c:ext>
              </c:extLst>
            </c:dLbl>
            <c:dLbl>
              <c:idx val="9"/>
              <c:tx>
                <c:rich>
                  <a:bodyPr/>
                  <a:lstStyle/>
                  <a:p>
                    <a:fld id="{A1A54AE0-72BD-4616-A887-98C2F48B0298}" type="CELLREF">
                      <a:rPr lang="en-US"/>
                      <a:pPr/>
                      <a:t>[CELLREF]</a:t>
                    </a:fld>
                    <a:endParaRPr lang="en-IN"/>
                  </a:p>
                </c:rich>
              </c:tx>
              <c:showLegendKey val="0"/>
              <c:showVal val="1"/>
              <c:showCatName val="0"/>
              <c:showSerName val="0"/>
              <c:showPercent val="0"/>
              <c:showBubbleSize val="0"/>
              <c:extLst>
                <c:ext xmlns:c15="http://schemas.microsoft.com/office/drawing/2012/chart" uri="{CE6537A1-D6FC-4f65-9D91-7224C49458BB}">
                  <c15:dlblFieldTable>
                    <c15:dlblFTEntry>
                      <c15:txfldGUID>{A1A54AE0-72BD-4616-A887-98C2F48B0298}</c15:txfldGUID>
                      <c15:f>'PIVOT TABLE'!$I$56</c15:f>
                      <c15:dlblFieldTableCache>
                        <c:ptCount val="1"/>
                        <c:pt idx="0">
                          <c:v>Omega Industries</c:v>
                        </c:pt>
                      </c15:dlblFieldTableCache>
                    </c15:dlblFTEntry>
                  </c15:dlblFieldTable>
                  <c15:showDataLabelsRange val="0"/>
                </c:ext>
                <c:ext xmlns:c16="http://schemas.microsoft.com/office/drawing/2014/chart" uri="{C3380CC4-5D6E-409C-BE32-E72D297353CC}">
                  <c16:uniqueId val="{00000006-C05B-4292-8109-7710A0B776D8}"/>
                </c:ext>
              </c:extLst>
            </c:dLbl>
            <c:dLbl>
              <c:idx val="10"/>
              <c:delete val="1"/>
              <c:extLst>
                <c:ext xmlns:c15="http://schemas.microsoft.com/office/drawing/2012/chart" uri="{CE6537A1-D6FC-4f65-9D91-7224C49458BB}"/>
                <c:ext xmlns:c16="http://schemas.microsoft.com/office/drawing/2014/chart" uri="{C3380CC4-5D6E-409C-BE32-E72D297353CC}">
                  <c16:uniqueId val="{00000007-C05B-4292-8109-7710A0B776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'PIVOT TABLE'!$J$47:$J$57</c:f>
              <c:numCache>
                <c:formatCode>0%</c:formatCode>
                <c:ptCount val="11"/>
                <c:pt idx="0">
                  <c:v>0.97872340425531912</c:v>
                </c:pt>
                <c:pt idx="1">
                  <c:v>0.95918367346938771</c:v>
                </c:pt>
                <c:pt idx="2">
                  <c:v>0.95238095238095233</c:v>
                </c:pt>
                <c:pt idx="3">
                  <c:v>0.92982456140350878</c:v>
                </c:pt>
                <c:pt idx="4">
                  <c:v>0.89830508474576276</c:v>
                </c:pt>
                <c:pt idx="5">
                  <c:v>0.89655172413793105</c:v>
                </c:pt>
                <c:pt idx="6">
                  <c:v>0.88095238095238093</c:v>
                </c:pt>
                <c:pt idx="7">
                  <c:v>0.8571428571428571</c:v>
                </c:pt>
                <c:pt idx="8">
                  <c:v>0.7857142857142857</c:v>
                </c:pt>
                <c:pt idx="9">
                  <c:v>0.64583333333333337</c:v>
                </c:pt>
                <c:pt idx="10">
                  <c:v>0.878</c:v>
                </c:pt>
              </c:numCache>
            </c:numRef>
          </c:xVal>
          <c:yVal>
            <c:numRef>
              <c:f>'PIVOT TABLE'!$K$47:$K$57</c:f>
              <c:numCache>
                <c:formatCode>0%</c:formatCode>
                <c:ptCount val="11"/>
                <c:pt idx="0">
                  <c:v>0.98814565584689218</c:v>
                </c:pt>
                <c:pt idx="1">
                  <c:v>0.97841745107356104</c:v>
                </c:pt>
                <c:pt idx="2">
                  <c:v>0.98703947003178816</c:v>
                </c:pt>
                <c:pt idx="3">
                  <c:v>0.95726241049440819</c:v>
                </c:pt>
                <c:pt idx="4">
                  <c:v>0.93784884761068321</c:v>
                </c:pt>
                <c:pt idx="5">
                  <c:v>0.90815693933449537</c:v>
                </c:pt>
                <c:pt idx="6">
                  <c:v>0.96800494442260154</c:v>
                </c:pt>
                <c:pt idx="7">
                  <c:v>0.94802116212337662</c:v>
                </c:pt>
                <c:pt idx="8">
                  <c:v>0.92805106263770398</c:v>
                </c:pt>
                <c:pt idx="9">
                  <c:v>0.87861385004909887</c:v>
                </c:pt>
                <c:pt idx="10">
                  <c:v>0.94605704268470947</c:v>
                </c:pt>
              </c:numCache>
            </c:numRef>
          </c:yVal>
          <c:smooth val="0"/>
          <c:extLst>
            <c:ext xmlns:c16="http://schemas.microsoft.com/office/drawing/2014/chart" uri="{C3380CC4-5D6E-409C-BE32-E72D297353CC}">
              <c16:uniqueId val="{00000008-C05B-4292-8109-7710A0B776D8}"/>
            </c:ext>
          </c:extLst>
        </c:ser>
        <c:ser>
          <c:idx val="3"/>
          <c:order val="3"/>
          <c:tx>
            <c:strRef>
              <c:f>'PIVOT TABLE'!$K$46</c:f>
              <c:strCache>
                <c:ptCount val="1"/>
                <c:pt idx="0">
                  <c:v>Average of Quality Rate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xVal>
            <c:numRef>
              <c:f>'PIVOT TABLE'!$J$47:$J$57</c:f>
              <c:numCache>
                <c:formatCode>0%</c:formatCode>
                <c:ptCount val="11"/>
                <c:pt idx="0">
                  <c:v>0.97872340425531912</c:v>
                </c:pt>
                <c:pt idx="1">
                  <c:v>0.95918367346938771</c:v>
                </c:pt>
                <c:pt idx="2">
                  <c:v>0.95238095238095233</c:v>
                </c:pt>
                <c:pt idx="3">
                  <c:v>0.92982456140350878</c:v>
                </c:pt>
                <c:pt idx="4">
                  <c:v>0.89830508474576276</c:v>
                </c:pt>
                <c:pt idx="5">
                  <c:v>0.89655172413793105</c:v>
                </c:pt>
                <c:pt idx="6">
                  <c:v>0.88095238095238093</c:v>
                </c:pt>
                <c:pt idx="7">
                  <c:v>0.8571428571428571</c:v>
                </c:pt>
                <c:pt idx="8">
                  <c:v>0.7857142857142857</c:v>
                </c:pt>
                <c:pt idx="9">
                  <c:v>0.64583333333333337</c:v>
                </c:pt>
                <c:pt idx="10">
                  <c:v>0.878</c:v>
                </c:pt>
              </c:numCache>
            </c:numRef>
          </c:xVal>
          <c:yVal>
            <c:numRef>
              <c:f>'PIVOT TABLE'!$K$47:$K$57</c:f>
              <c:numCache>
                <c:formatCode>0%</c:formatCode>
                <c:ptCount val="11"/>
                <c:pt idx="0">
                  <c:v>0.98814565584689218</c:v>
                </c:pt>
                <c:pt idx="1">
                  <c:v>0.97841745107356104</c:v>
                </c:pt>
                <c:pt idx="2">
                  <c:v>0.98703947003178816</c:v>
                </c:pt>
                <c:pt idx="3">
                  <c:v>0.95726241049440819</c:v>
                </c:pt>
                <c:pt idx="4">
                  <c:v>0.93784884761068321</c:v>
                </c:pt>
                <c:pt idx="5">
                  <c:v>0.90815693933449537</c:v>
                </c:pt>
                <c:pt idx="6">
                  <c:v>0.96800494442260154</c:v>
                </c:pt>
                <c:pt idx="7">
                  <c:v>0.94802116212337662</c:v>
                </c:pt>
                <c:pt idx="8">
                  <c:v>0.92805106263770398</c:v>
                </c:pt>
                <c:pt idx="9">
                  <c:v>0.87861385004909887</c:v>
                </c:pt>
                <c:pt idx="10">
                  <c:v>0.94605704268470947</c:v>
                </c:pt>
              </c:numCache>
            </c:numRef>
          </c:yVal>
          <c:smooth val="0"/>
          <c:extLst>
            <c:ext xmlns:c16="http://schemas.microsoft.com/office/drawing/2014/chart" uri="{C3380CC4-5D6E-409C-BE32-E72D297353CC}">
              <c16:uniqueId val="{00000019-C05B-4292-8109-7710A0B776D8}"/>
            </c:ext>
          </c:extLst>
        </c:ser>
        <c:ser>
          <c:idx val="4"/>
          <c:order val="4"/>
          <c:tx>
            <c:v>Vertical</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xVal>
            <c:numRef>
              <c:f>'PIVOT TABLE'!$L$47:$L$48</c:f>
              <c:numCache>
                <c:formatCode>0%</c:formatCode>
                <c:ptCount val="2"/>
                <c:pt idx="0">
                  <c:v>0.88</c:v>
                </c:pt>
                <c:pt idx="1">
                  <c:v>0.88</c:v>
                </c:pt>
              </c:numCache>
            </c:numRef>
          </c:xVal>
          <c:yVal>
            <c:numRef>
              <c:f>'PIVOT TABLE'!$M$47:$M$48</c:f>
              <c:numCache>
                <c:formatCode>0%</c:formatCode>
                <c:ptCount val="2"/>
                <c:pt idx="0">
                  <c:v>0.85</c:v>
                </c:pt>
                <c:pt idx="1">
                  <c:v>1</c:v>
                </c:pt>
              </c:numCache>
            </c:numRef>
          </c:yVal>
          <c:smooth val="0"/>
          <c:extLst>
            <c:ext xmlns:c16="http://schemas.microsoft.com/office/drawing/2014/chart" uri="{C3380CC4-5D6E-409C-BE32-E72D297353CC}">
              <c16:uniqueId val="{0000001A-C05B-4292-8109-7710A0B776D8}"/>
            </c:ext>
          </c:extLst>
        </c:ser>
        <c:ser>
          <c:idx val="5"/>
          <c:order val="5"/>
          <c:tx>
            <c:v>HORIZONTAL</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xVal>
            <c:numRef>
              <c:f>'PIVOT TABLE'!$L$50:$L$51</c:f>
              <c:numCache>
                <c:formatCode>0%</c:formatCode>
                <c:ptCount val="2"/>
                <c:pt idx="0">
                  <c:v>0.6</c:v>
                </c:pt>
                <c:pt idx="1">
                  <c:v>1</c:v>
                </c:pt>
              </c:numCache>
            </c:numRef>
          </c:xVal>
          <c:yVal>
            <c:numRef>
              <c:f>'PIVOT TABLE'!$M$50:$M$51</c:f>
              <c:numCache>
                <c:formatCode>0%</c:formatCode>
                <c:ptCount val="2"/>
                <c:pt idx="0">
                  <c:v>0.95</c:v>
                </c:pt>
                <c:pt idx="1">
                  <c:v>0.95</c:v>
                </c:pt>
              </c:numCache>
            </c:numRef>
          </c:yVal>
          <c:smooth val="0"/>
          <c:extLst>
            <c:ext xmlns:c16="http://schemas.microsoft.com/office/drawing/2014/chart" uri="{C3380CC4-5D6E-409C-BE32-E72D297353CC}">
              <c16:uniqueId val="{0000001B-C05B-4292-8109-7710A0B776D8}"/>
            </c:ext>
          </c:extLst>
        </c:ser>
        <c:ser>
          <c:idx val="6"/>
          <c:order val="6"/>
          <c:tx>
            <c:strRef>
              <c:f>'PIVOT TABLE'!$K$46</c:f>
              <c:strCache>
                <c:ptCount val="1"/>
                <c:pt idx="0">
                  <c:v>Average of Quality Rate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xVal>
            <c:numRef>
              <c:f>'PIVOT TABLE'!$J$47:$J$57</c:f>
              <c:numCache>
                <c:formatCode>0%</c:formatCode>
                <c:ptCount val="11"/>
                <c:pt idx="0">
                  <c:v>0.97872340425531912</c:v>
                </c:pt>
                <c:pt idx="1">
                  <c:v>0.95918367346938771</c:v>
                </c:pt>
                <c:pt idx="2">
                  <c:v>0.95238095238095233</c:v>
                </c:pt>
                <c:pt idx="3">
                  <c:v>0.92982456140350878</c:v>
                </c:pt>
                <c:pt idx="4">
                  <c:v>0.89830508474576276</c:v>
                </c:pt>
                <c:pt idx="5">
                  <c:v>0.89655172413793105</c:v>
                </c:pt>
                <c:pt idx="6">
                  <c:v>0.88095238095238093</c:v>
                </c:pt>
                <c:pt idx="7">
                  <c:v>0.8571428571428571</c:v>
                </c:pt>
                <c:pt idx="8">
                  <c:v>0.7857142857142857</c:v>
                </c:pt>
                <c:pt idx="9">
                  <c:v>0.64583333333333337</c:v>
                </c:pt>
                <c:pt idx="10">
                  <c:v>0.878</c:v>
                </c:pt>
              </c:numCache>
            </c:numRef>
          </c:xVal>
          <c:yVal>
            <c:numRef>
              <c:f>'PIVOT TABLE'!$K$47:$K$57</c:f>
              <c:numCache>
                <c:formatCode>0%</c:formatCode>
                <c:ptCount val="11"/>
                <c:pt idx="0">
                  <c:v>0.98814565584689218</c:v>
                </c:pt>
                <c:pt idx="1">
                  <c:v>0.97841745107356104</c:v>
                </c:pt>
                <c:pt idx="2">
                  <c:v>0.98703947003178816</c:v>
                </c:pt>
                <c:pt idx="3">
                  <c:v>0.95726241049440819</c:v>
                </c:pt>
                <c:pt idx="4">
                  <c:v>0.93784884761068321</c:v>
                </c:pt>
                <c:pt idx="5">
                  <c:v>0.90815693933449537</c:v>
                </c:pt>
                <c:pt idx="6">
                  <c:v>0.96800494442260154</c:v>
                </c:pt>
                <c:pt idx="7">
                  <c:v>0.94802116212337662</c:v>
                </c:pt>
                <c:pt idx="8">
                  <c:v>0.92805106263770398</c:v>
                </c:pt>
                <c:pt idx="9">
                  <c:v>0.87861385004909887</c:v>
                </c:pt>
                <c:pt idx="10">
                  <c:v>0.94605704268470947</c:v>
                </c:pt>
              </c:numCache>
            </c:numRef>
          </c:yVal>
          <c:smooth val="0"/>
          <c:extLst>
            <c:ext xmlns:c16="http://schemas.microsoft.com/office/drawing/2014/chart" uri="{C3380CC4-5D6E-409C-BE32-E72D297353CC}">
              <c16:uniqueId val="{0000002A-C05B-4292-8109-7710A0B776D8}"/>
            </c:ext>
          </c:extLst>
        </c:ser>
        <c:ser>
          <c:idx val="7"/>
          <c:order val="7"/>
          <c:tx>
            <c:v>Vertical</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xVal>
            <c:numRef>
              <c:f>'PIVOT TABLE'!$L$47:$L$48</c:f>
              <c:numCache>
                <c:formatCode>0%</c:formatCode>
                <c:ptCount val="2"/>
                <c:pt idx="0">
                  <c:v>0.88</c:v>
                </c:pt>
                <c:pt idx="1">
                  <c:v>0.88</c:v>
                </c:pt>
              </c:numCache>
            </c:numRef>
          </c:xVal>
          <c:yVal>
            <c:numRef>
              <c:f>'PIVOT TABLE'!$M$47:$M$48</c:f>
              <c:numCache>
                <c:formatCode>0%</c:formatCode>
                <c:ptCount val="2"/>
                <c:pt idx="0">
                  <c:v>0.85</c:v>
                </c:pt>
                <c:pt idx="1">
                  <c:v>1</c:v>
                </c:pt>
              </c:numCache>
            </c:numRef>
          </c:yVal>
          <c:smooth val="0"/>
          <c:extLst>
            <c:ext xmlns:c16="http://schemas.microsoft.com/office/drawing/2014/chart" uri="{C3380CC4-5D6E-409C-BE32-E72D297353CC}">
              <c16:uniqueId val="{0000002B-C05B-4292-8109-7710A0B776D8}"/>
            </c:ext>
          </c:extLst>
        </c:ser>
        <c:ser>
          <c:idx val="8"/>
          <c:order val="8"/>
          <c:tx>
            <c:v>HORIZONTAL</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xVal>
            <c:numRef>
              <c:f>'PIVOT TABLE'!$L$50:$L$51</c:f>
              <c:numCache>
                <c:formatCode>0%</c:formatCode>
                <c:ptCount val="2"/>
                <c:pt idx="0">
                  <c:v>0.6</c:v>
                </c:pt>
                <c:pt idx="1">
                  <c:v>1</c:v>
                </c:pt>
              </c:numCache>
            </c:numRef>
          </c:xVal>
          <c:yVal>
            <c:numRef>
              <c:f>'PIVOT TABLE'!$M$50:$M$51</c:f>
              <c:numCache>
                <c:formatCode>0%</c:formatCode>
                <c:ptCount val="2"/>
                <c:pt idx="0">
                  <c:v>0.95</c:v>
                </c:pt>
                <c:pt idx="1">
                  <c:v>0.95</c:v>
                </c:pt>
              </c:numCache>
            </c:numRef>
          </c:yVal>
          <c:smooth val="0"/>
          <c:extLst>
            <c:ext xmlns:c16="http://schemas.microsoft.com/office/drawing/2014/chart" uri="{C3380CC4-5D6E-409C-BE32-E72D297353CC}">
              <c16:uniqueId val="{0000002C-C05B-4292-8109-7710A0B776D8}"/>
            </c:ext>
          </c:extLst>
        </c:ser>
        <c:dLbls>
          <c:showLegendKey val="0"/>
          <c:showVal val="0"/>
          <c:showCatName val="0"/>
          <c:showSerName val="0"/>
          <c:showPercent val="0"/>
          <c:showBubbleSize val="0"/>
        </c:dLbls>
        <c:axId val="98273792"/>
        <c:axId val="1936805072"/>
      </c:scatterChart>
      <c:scatterChart>
        <c:scatterStyle val="smoothMarker"/>
        <c:varyColors val="0"/>
        <c:ser>
          <c:idx val="1"/>
          <c:order val="1"/>
          <c:tx>
            <c:v>Vertical</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xVal>
            <c:numRef>
              <c:f>'PIVOT TABLE'!$L$47:$L$48</c:f>
              <c:numCache>
                <c:formatCode>0%</c:formatCode>
                <c:ptCount val="2"/>
                <c:pt idx="0">
                  <c:v>0.88</c:v>
                </c:pt>
                <c:pt idx="1">
                  <c:v>0.88</c:v>
                </c:pt>
              </c:numCache>
            </c:numRef>
          </c:xVal>
          <c:yVal>
            <c:numRef>
              <c:f>'PIVOT TABLE'!$M$47:$M$48</c:f>
              <c:numCache>
                <c:formatCode>0%</c:formatCode>
                <c:ptCount val="2"/>
                <c:pt idx="0">
                  <c:v>0.85</c:v>
                </c:pt>
                <c:pt idx="1">
                  <c:v>1</c:v>
                </c:pt>
              </c:numCache>
            </c:numRef>
          </c:yVal>
          <c:smooth val="1"/>
          <c:extLst>
            <c:ext xmlns:c16="http://schemas.microsoft.com/office/drawing/2014/chart" uri="{C3380CC4-5D6E-409C-BE32-E72D297353CC}">
              <c16:uniqueId val="{00000009-C05B-4292-8109-7710A0B776D8}"/>
            </c:ext>
          </c:extLst>
        </c:ser>
        <c:ser>
          <c:idx val="2"/>
          <c:order val="2"/>
          <c:tx>
            <c:v>HORIZONTAL</c:v>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xVal>
            <c:numRef>
              <c:f>'PIVOT TABLE'!$L$50:$L$51</c:f>
              <c:numCache>
                <c:formatCode>0%</c:formatCode>
                <c:ptCount val="2"/>
                <c:pt idx="0">
                  <c:v>0.6</c:v>
                </c:pt>
                <c:pt idx="1">
                  <c:v>1</c:v>
                </c:pt>
              </c:numCache>
            </c:numRef>
          </c:xVal>
          <c:yVal>
            <c:numRef>
              <c:f>'PIVOT TABLE'!$M$50:$M$51</c:f>
              <c:numCache>
                <c:formatCode>0%</c:formatCode>
                <c:ptCount val="2"/>
                <c:pt idx="0">
                  <c:v>0.95</c:v>
                </c:pt>
                <c:pt idx="1">
                  <c:v>0.95</c:v>
                </c:pt>
              </c:numCache>
            </c:numRef>
          </c:yVal>
          <c:smooth val="1"/>
          <c:extLst>
            <c:ext xmlns:c16="http://schemas.microsoft.com/office/drawing/2014/chart" uri="{C3380CC4-5D6E-409C-BE32-E72D297353CC}">
              <c16:uniqueId val="{0000000A-C05B-4292-8109-7710A0B776D8}"/>
            </c:ext>
          </c:extLst>
        </c:ser>
        <c:dLbls>
          <c:showLegendKey val="0"/>
          <c:showVal val="0"/>
          <c:showCatName val="0"/>
          <c:showSerName val="0"/>
          <c:showPercent val="0"/>
          <c:showBubbleSize val="0"/>
        </c:dLbls>
        <c:axId val="98273792"/>
        <c:axId val="1936805072"/>
      </c:scatterChart>
      <c:valAx>
        <c:axId val="9827379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OTD%</a:t>
                </a:r>
              </a:p>
            </c:rich>
          </c:tx>
          <c:layout>
            <c:manualLayout>
              <c:xMode val="edge"/>
              <c:yMode val="edge"/>
              <c:x val="0.55707559795243489"/>
              <c:y val="0.9614762610825429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805072"/>
        <c:crosses val="autoZero"/>
        <c:crossBetween val="midCat"/>
      </c:valAx>
      <c:valAx>
        <c:axId val="19368050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Quality Rate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2737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80/20 Supplier Spend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'PIVOT TABLE'!$T$17</c:f>
              <c:strCache>
                <c:ptCount val="1"/>
                <c:pt idx="0">
                  <c:v>Sum of Order Value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ullRef>
                    <c15:sqref>'PIVOT TABLE'!$S$18:$S$28</c15:sqref>
                  </c15:fullRef>
                </c:ext>
              </c:extLst>
              <c:f>'PIVOT TABLE'!$S$18:$S$27</c:f>
              <c:strCache>
                <c:ptCount val="10"/>
                <c:pt idx="0">
                  <c:v>Delta Supplies</c:v>
                </c:pt>
                <c:pt idx="1">
                  <c:v>Nexus Parts</c:v>
                </c:pt>
                <c:pt idx="2">
                  <c:v>Vertex Solutions</c:v>
                </c:pt>
                <c:pt idx="3">
                  <c:v>Gamma Technologies</c:v>
                </c:pt>
                <c:pt idx="4">
                  <c:v>Epsilon Systems</c:v>
                </c:pt>
                <c:pt idx="5">
                  <c:v>Zenith Manufacturing</c:v>
                </c:pt>
                <c:pt idx="6">
                  <c:v>Beta Components</c:v>
                </c:pt>
                <c:pt idx="7">
                  <c:v>Omega Industries</c:v>
                </c:pt>
                <c:pt idx="8">
                  <c:v>Alpha Electronics</c:v>
                </c:pt>
                <c:pt idx="9">
                  <c:v>Prime Circuits</c:v>
                </c:pt>
              </c:strCache>
            </c:strRef>
          </c:cat>
          <c:val>
            <c:numRef>
              <c:extLst>
                <c:ext xmlns:c15="http://schemas.microsoft.com/office/drawing/2012/chart" uri="{02D57815-91ED-43cb-92C2-25804820EDAC}">
                  <c15:fullRef>
                    <c15:sqref>'PIVOT TABLE'!$T$18:$T$28</c15:sqref>
                  </c15:fullRef>
                </c:ext>
              </c:extLst>
              <c:f>'PIVOT TABLE'!$T$18:$T$27</c:f>
              <c:numCache>
                <c:formatCode>General</c:formatCode>
                <c:ptCount val="10"/>
                <c:pt idx="0">
                  <c:v>17650262</c:v>
                </c:pt>
                <c:pt idx="1">
                  <c:v>17143945</c:v>
                </c:pt>
                <c:pt idx="2">
                  <c:v>17079564</c:v>
                </c:pt>
                <c:pt idx="3">
                  <c:v>16822670</c:v>
                </c:pt>
                <c:pt idx="4">
                  <c:v>16584907</c:v>
                </c:pt>
                <c:pt idx="5">
                  <c:v>15824235</c:v>
                </c:pt>
                <c:pt idx="6">
                  <c:v>14904559</c:v>
                </c:pt>
                <c:pt idx="7">
                  <c:v>13662668</c:v>
                </c:pt>
                <c:pt idx="8">
                  <c:v>12712598</c:v>
                </c:pt>
                <c:pt idx="9">
                  <c:v>10735271</c:v>
                </c:pt>
              </c:numCache>
            </c:numRef>
          </c:val>
          <c:extLst>
            <c:ext xmlns:c16="http://schemas.microsoft.com/office/drawing/2014/chart" uri="{C3380CC4-5D6E-409C-BE32-E72D297353CC}">
              <c16:uniqueId val="{00000000-F54A-4B3C-BCFC-E9D8B7A41A57}"/>
            </c:ext>
          </c:extLst>
        </c:ser>
        <c:dLbls>
          <c:showLegendKey val="0"/>
          <c:showVal val="0"/>
          <c:showCatName val="0"/>
          <c:showSerName val="0"/>
          <c:showPercent val="0"/>
          <c:showBubbleSize val="0"/>
        </c:dLbls>
        <c:gapWidth val="219"/>
        <c:axId val="1953447728"/>
        <c:axId val="1936834352"/>
      </c:barChart>
      <c:lineChart>
        <c:grouping val="standard"/>
        <c:varyColors val="0"/>
        <c:ser>
          <c:idx val="1"/>
          <c:order val="1"/>
          <c:tx>
            <c:strRef>
              <c:f>'PIVOT TABLE'!$U$17</c:f>
              <c:strCache>
                <c:ptCount val="1"/>
                <c:pt idx="0">
                  <c:v>Cumulative%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'PIVOT TABLE'!$S$18:$S$28</c15:sqref>
                  </c15:fullRef>
                </c:ext>
              </c:extLst>
              <c:f>'PIVOT TABLE'!$S$18:$S$27</c:f>
              <c:strCache>
                <c:ptCount val="10"/>
                <c:pt idx="0">
                  <c:v>Delta Supplies</c:v>
                </c:pt>
                <c:pt idx="1">
                  <c:v>Nexus Parts</c:v>
                </c:pt>
                <c:pt idx="2">
                  <c:v>Vertex Solutions</c:v>
                </c:pt>
                <c:pt idx="3">
                  <c:v>Gamma Technologies</c:v>
                </c:pt>
                <c:pt idx="4">
                  <c:v>Epsilon Systems</c:v>
                </c:pt>
                <c:pt idx="5">
                  <c:v>Zenith Manufacturing</c:v>
                </c:pt>
                <c:pt idx="6">
                  <c:v>Beta Components</c:v>
                </c:pt>
                <c:pt idx="7">
                  <c:v>Omega Industries</c:v>
                </c:pt>
                <c:pt idx="8">
                  <c:v>Alpha Electronics</c:v>
                </c:pt>
                <c:pt idx="9">
                  <c:v>Prime Circuits</c:v>
                </c:pt>
              </c:strCache>
            </c:strRef>
          </c:cat>
          <c:val>
            <c:numRef>
              <c:extLst>
                <c:ext xmlns:c15="http://schemas.microsoft.com/office/drawing/2012/chart" uri="{02D57815-91ED-43cb-92C2-25804820EDAC}">
                  <c15:fullRef>
                    <c15:sqref>'PIVOT TABLE'!$U$18:$U$28</c15:sqref>
                  </c15:fullRef>
                </c:ext>
              </c:extLst>
              <c:f>'PIVOT TABLE'!$U$18:$U$27</c:f>
              <c:numCache>
                <c:formatCode>0%</c:formatCode>
                <c:ptCount val="10"/>
                <c:pt idx="0">
                  <c:v>0.11527026992872726</c:v>
                </c:pt>
                <c:pt idx="1">
                  <c:v>0.22723388654774707</c:v>
                </c:pt>
                <c:pt idx="2">
                  <c:v>0.33877704395498398</c:v>
                </c:pt>
                <c:pt idx="3">
                  <c:v>0.44864247891690706</c:v>
                </c:pt>
                <c:pt idx="4">
                  <c:v>0.55695513210204606</c:v>
                </c:pt>
                <c:pt idx="5">
                  <c:v>0.66029999122456862</c:v>
                </c:pt>
                <c:pt idx="6">
                  <c:v>0.75763863351206784</c:v>
                </c:pt>
                <c:pt idx="7">
                  <c:v>0.84686673835870319</c:v>
                </c:pt>
                <c:pt idx="8">
                  <c:v>0.92989012934040072</c:v>
                </c:pt>
                <c:pt idx="9">
                  <c:v>0.99999999999999989</c:v>
                </c:pt>
              </c:numCache>
            </c:numRef>
          </c:val>
          <c:smooth val="0"/>
          <c:extLst>
            <c:ext xmlns:c16="http://schemas.microsoft.com/office/drawing/2014/chart" uri="{C3380CC4-5D6E-409C-BE32-E72D297353CC}">
              <c16:uniqueId val="{00000001-F54A-4B3C-BCFC-E9D8B7A41A57}"/>
            </c:ext>
          </c:extLst>
        </c:ser>
        <c:dLbls>
          <c:showLegendKey val="0"/>
          <c:showVal val="0"/>
          <c:showCatName val="0"/>
          <c:showSerName val="0"/>
          <c:showPercent val="0"/>
          <c:showBubbleSize val="0"/>
        </c:dLbls>
        <c:marker val="1"/>
        <c:smooth val="0"/>
        <c:axId val="1934001520"/>
        <c:axId val="1936821872"/>
      </c:lineChart>
      <c:catAx>
        <c:axId val="1953447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834352"/>
        <c:crosses val="autoZero"/>
        <c:auto val="1"/>
        <c:lblAlgn val="ctr"/>
        <c:lblOffset val="100"/>
        <c:noMultiLvlLbl val="0"/>
      </c:catAx>
      <c:valAx>
        <c:axId val="1936834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447728"/>
        <c:crosses val="autoZero"/>
        <c:crossBetween val="between"/>
      </c:valAx>
      <c:valAx>
        <c:axId val="193682187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4001520"/>
        <c:crosses val="max"/>
        <c:crossBetween val="between"/>
      </c:valAx>
      <c:catAx>
        <c:axId val="1934001520"/>
        <c:scaling>
          <c:orientation val="minMax"/>
        </c:scaling>
        <c:delete val="1"/>
        <c:axPos val="b"/>
        <c:numFmt formatCode="General" sourceLinked="1"/>
        <c:majorTickMark val="none"/>
        <c:minorTickMark val="none"/>
        <c:tickLblPos val="nextTo"/>
        <c:crossAx val="19368218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Sheet4!$C$2</c:f>
              <c:strCache>
                <c:ptCount val="1"/>
                <c:pt idx="0">
                  <c:v>Average of OTD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Sheet4!$B$3:$B$12</c:f>
              <c:strCache>
                <c:ptCount val="10"/>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strCache>
            </c:strRef>
          </c:cat>
          <c:val>
            <c:numRef>
              <c:f>Sheet4!$C$3:$C$12</c:f>
              <c:numCache>
                <c:formatCode>0%</c:formatCode>
                <c:ptCount val="10"/>
                <c:pt idx="0">
                  <c:v>0.97872340425531912</c:v>
                </c:pt>
                <c:pt idx="1">
                  <c:v>0.95918367346938771</c:v>
                </c:pt>
                <c:pt idx="2">
                  <c:v>0.95238095238095233</c:v>
                </c:pt>
                <c:pt idx="3">
                  <c:v>0.92982456140350878</c:v>
                </c:pt>
                <c:pt idx="4">
                  <c:v>0.89830508474576276</c:v>
                </c:pt>
                <c:pt idx="5">
                  <c:v>0.89655172413793105</c:v>
                </c:pt>
                <c:pt idx="6">
                  <c:v>0.88095238095238093</c:v>
                </c:pt>
                <c:pt idx="7">
                  <c:v>0.8571428571428571</c:v>
                </c:pt>
                <c:pt idx="8">
                  <c:v>0.7857142857142857</c:v>
                </c:pt>
                <c:pt idx="9">
                  <c:v>0.64583333333333337</c:v>
                </c:pt>
              </c:numCache>
            </c:numRef>
          </c:val>
          <c:extLst>
            <c:ext xmlns:c16="http://schemas.microsoft.com/office/drawing/2014/chart" uri="{C3380CC4-5D6E-409C-BE32-E72D297353CC}">
              <c16:uniqueId val="{00000000-61DA-4DC2-817E-635E3DBAE082}"/>
            </c:ext>
          </c:extLst>
        </c:ser>
        <c:dLbls>
          <c:dLblPos val="inEnd"/>
          <c:showLegendKey val="0"/>
          <c:showVal val="1"/>
          <c:showCatName val="0"/>
          <c:showSerName val="0"/>
          <c:showPercent val="0"/>
          <c:showBubbleSize val="0"/>
        </c:dLbls>
        <c:gapWidth val="115"/>
        <c:overlap val="-20"/>
        <c:axId val="2127871455"/>
        <c:axId val="2130277935"/>
      </c:barChart>
      <c:catAx>
        <c:axId val="21278714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0277935"/>
        <c:crosses val="autoZero"/>
        <c:auto val="1"/>
        <c:lblAlgn val="ctr"/>
        <c:lblOffset val="100"/>
        <c:noMultiLvlLbl val="0"/>
      </c:catAx>
      <c:valAx>
        <c:axId val="213027793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787145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VENDOR VS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percentStacke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Sheet4!$B$3:$B$13</c:f>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f>Sheet4!$C$3:$C$13</c:f>
              <c:numCache>
                <c:formatCode>0%</c:formatCode>
                <c:ptCount val="11"/>
                <c:pt idx="0">
                  <c:v>0.97872340425531912</c:v>
                </c:pt>
                <c:pt idx="1">
                  <c:v>0.95918367346938771</c:v>
                </c:pt>
                <c:pt idx="2">
                  <c:v>0.95238095238095233</c:v>
                </c:pt>
                <c:pt idx="3">
                  <c:v>0.92982456140350878</c:v>
                </c:pt>
                <c:pt idx="4">
                  <c:v>0.89830508474576276</c:v>
                </c:pt>
                <c:pt idx="5">
                  <c:v>0.89655172413793105</c:v>
                </c:pt>
                <c:pt idx="6">
                  <c:v>0.88095238095238093</c:v>
                </c:pt>
                <c:pt idx="7">
                  <c:v>0.8571428571428571</c:v>
                </c:pt>
                <c:pt idx="8">
                  <c:v>0.7857142857142857</c:v>
                </c:pt>
                <c:pt idx="9">
                  <c:v>0.64583333333333337</c:v>
                </c:pt>
                <c:pt idx="10">
                  <c:v>0.878</c:v>
                </c:pt>
              </c:numCache>
            </c:numRef>
          </c:val>
          <c:smooth val="0"/>
          <c:extLst>
            <c:ext xmlns:c16="http://schemas.microsoft.com/office/drawing/2014/chart" uri="{C3380CC4-5D6E-409C-BE32-E72D297353CC}">
              <c16:uniqueId val="{00000000-D40D-48EB-BF41-92E828B20CD3}"/>
            </c:ext>
          </c:extLst>
        </c:ser>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Sheet4!$B$3:$B$13</c:f>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f>Sheet4!$D$3:$D$13</c:f>
              <c:numCache>
                <c:formatCode>0%</c:formatCode>
                <c:ptCount val="11"/>
                <c:pt idx="0">
                  <c:v>0.98814565584689218</c:v>
                </c:pt>
                <c:pt idx="1">
                  <c:v>0.97841745107356071</c:v>
                </c:pt>
                <c:pt idx="2">
                  <c:v>0.98703947003178816</c:v>
                </c:pt>
                <c:pt idx="3">
                  <c:v>0.95726241049440808</c:v>
                </c:pt>
                <c:pt idx="4">
                  <c:v>0.93784884761068354</c:v>
                </c:pt>
                <c:pt idx="5">
                  <c:v>0.90815693933449515</c:v>
                </c:pt>
                <c:pt idx="6">
                  <c:v>0.96800494442260121</c:v>
                </c:pt>
                <c:pt idx="7">
                  <c:v>0.94802116212337662</c:v>
                </c:pt>
                <c:pt idx="8">
                  <c:v>0.9280510626377042</c:v>
                </c:pt>
                <c:pt idx="9">
                  <c:v>0.87861385004909887</c:v>
                </c:pt>
                <c:pt idx="10">
                  <c:v>0.94605704268470947</c:v>
                </c:pt>
              </c:numCache>
            </c:numRef>
          </c:val>
          <c:smooth val="0"/>
          <c:extLst>
            <c:ext xmlns:c16="http://schemas.microsoft.com/office/drawing/2014/chart" uri="{C3380CC4-5D6E-409C-BE32-E72D297353CC}">
              <c16:uniqueId val="{00000001-D40D-48EB-BF41-92E828B20CD3}"/>
            </c:ext>
          </c:extLst>
        </c:ser>
        <c:ser>
          <c:idx val="2"/>
          <c:order val="2"/>
          <c:spPr>
            <a:ln w="34925" cap="rnd">
              <a:solidFill>
                <a:schemeClr val="accent3"/>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Sheet4!$B$3:$B$13</c:f>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f>Sheet4!$E$3:$E$13</c:f>
              <c:numCache>
                <c:formatCode>0%</c:formatCode>
                <c:ptCount val="11"/>
                <c:pt idx="0">
                  <c:v>7.6840886246513876E-2</c:v>
                </c:pt>
                <c:pt idx="1">
                  <c:v>8.0059281095738816E-2</c:v>
                </c:pt>
                <c:pt idx="2">
                  <c:v>9.8065088612125331E-2</c:v>
                </c:pt>
                <c:pt idx="3">
                  <c:v>6.6584592629716527E-2</c:v>
                </c:pt>
                <c:pt idx="4">
                  <c:v>8.2801658678178958E-2</c:v>
                </c:pt>
                <c:pt idx="5">
                  <c:v>9.7073878389304286E-2</c:v>
                </c:pt>
                <c:pt idx="6">
                  <c:v>5.4513852079533062E-2</c:v>
                </c:pt>
                <c:pt idx="7">
                  <c:v>0.12817136270201476</c:v>
                </c:pt>
                <c:pt idx="8">
                  <c:v>8.9797331993659038E-2</c:v>
                </c:pt>
                <c:pt idx="9">
                  <c:v>9.8883764672140315E-2</c:v>
                </c:pt>
                <c:pt idx="10">
                  <c:v>8.6823830108410632E-2</c:v>
                </c:pt>
              </c:numCache>
            </c:numRef>
          </c:val>
          <c:smooth val="0"/>
          <c:extLst>
            <c:ext xmlns:c16="http://schemas.microsoft.com/office/drawing/2014/chart" uri="{C3380CC4-5D6E-409C-BE32-E72D297353CC}">
              <c16:uniqueId val="{00000002-D40D-48EB-BF41-92E828B20CD3}"/>
            </c:ext>
          </c:extLst>
        </c:ser>
        <c:dLbls>
          <c:dLblPos val="ctr"/>
          <c:showLegendKey val="0"/>
          <c:showVal val="1"/>
          <c:showCatName val="0"/>
          <c:showSerName val="0"/>
          <c:showPercent val="0"/>
          <c:showBubbleSize val="0"/>
        </c:dLbls>
        <c:smooth val="0"/>
        <c:axId val="314633167"/>
        <c:axId val="2130262575"/>
      </c:lineChart>
      <c:catAx>
        <c:axId val="3146331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0262575"/>
        <c:crosses val="autoZero"/>
        <c:auto val="1"/>
        <c:lblAlgn val="ctr"/>
        <c:lblOffset val="100"/>
        <c:noMultiLvlLbl val="0"/>
      </c:catAx>
      <c:valAx>
        <c:axId val="213026257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4633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percentStacked"/>
        <c:varyColors val="0"/>
        <c:ser>
          <c:idx val="3"/>
          <c:order val="3"/>
          <c:tx>
            <c:strRef>
              <c:f>Sheet4!$F$2</c:f>
              <c:strCache>
                <c:ptCount val="1"/>
                <c:pt idx="0">
                  <c:v>Average of Vendor Score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Sheet4!$B$3:$B$13</c:f>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f>Sheet4!$F$3:$F$13</c:f>
              <c:numCache>
                <c:formatCode>0%</c:formatCode>
                <c:ptCount val="11"/>
                <c:pt idx="0">
                  <c:v>0.88863758882949984</c:v>
                </c:pt>
                <c:pt idx="1">
                  <c:v>0.8770424760018688</c:v>
                </c:pt>
                <c:pt idx="2">
                  <c:v>0.87919470850957093</c:v>
                </c:pt>
                <c:pt idx="3">
                  <c:v>0.85802545440193301</c:v>
                </c:pt>
                <c:pt idx="4">
                  <c:v>0.84137420489695736</c:v>
                </c:pt>
                <c:pt idx="5">
                  <c:v>0.83269458056157963</c:v>
                </c:pt>
                <c:pt idx="6">
                  <c:v>0.83952262520911414</c:v>
                </c:pt>
                <c:pt idx="7">
                  <c:v>0.83200832941753367</c:v>
                </c:pt>
                <c:pt idx="8">
                  <c:v>0.79445123502116355</c:v>
                </c:pt>
                <c:pt idx="9">
                  <c:v>0.72357996813045711</c:v>
                </c:pt>
                <c:pt idx="10">
                  <c:v>0.83587489628929768</c:v>
                </c:pt>
              </c:numCache>
            </c:numRef>
          </c:val>
          <c:extLst>
            <c:ext xmlns:c16="http://schemas.microsoft.com/office/drawing/2014/chart" uri="{C3380CC4-5D6E-409C-BE32-E72D297353CC}">
              <c16:uniqueId val="{00000000-165F-468F-A101-9E495A36EAC3}"/>
            </c:ext>
          </c:extLst>
        </c:ser>
        <c:dLbls>
          <c:dLblPos val="ctr"/>
          <c:showLegendKey val="0"/>
          <c:showVal val="1"/>
          <c:showCatName val="0"/>
          <c:showSerName val="0"/>
          <c:showPercent val="0"/>
          <c:showBubbleSize val="0"/>
        </c:dLbls>
        <c:gapWidth val="150"/>
        <c:overlap val="100"/>
        <c:axId val="376457855"/>
        <c:axId val="2130245775"/>
        <c:extLst>
          <c:ext xmlns:c15="http://schemas.microsoft.com/office/drawing/2012/chart" uri="{02D57815-91ED-43cb-92C2-25804820EDAC}">
            <c15:filteredBarSeries>
              <c15:ser>
                <c:idx val="0"/>
                <c:order val="0"/>
                <c:tx>
                  <c:strRef>
                    <c:extLst>
                      <c:ext uri="{02D57815-91ED-43cb-92C2-25804820EDAC}">
                        <c15:formulaRef>
                          <c15:sqref>Sheet4!$C$2</c15:sqref>
                        </c15:formulaRef>
                      </c:ext>
                    </c:extLst>
                    <c:strCache>
                      <c:ptCount val="1"/>
                      <c:pt idx="0">
                        <c:v>Average of OTD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Sheet4!$B$3:$B$13</c15:sqref>
                        </c15:formulaRef>
                      </c:ext>
                    </c:extLst>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extLst>
                      <c:ext uri="{02D57815-91ED-43cb-92C2-25804820EDAC}">
                        <c15:formulaRef>
                          <c15:sqref>Sheet4!$C$3:$C$13</c15:sqref>
                        </c15:formulaRef>
                      </c:ext>
                    </c:extLst>
                    <c:numCache>
                      <c:formatCode>0%</c:formatCode>
                      <c:ptCount val="11"/>
                      <c:pt idx="0">
                        <c:v>0.97872340425531912</c:v>
                      </c:pt>
                      <c:pt idx="1">
                        <c:v>0.95918367346938771</c:v>
                      </c:pt>
                      <c:pt idx="2">
                        <c:v>0.95238095238095233</c:v>
                      </c:pt>
                      <c:pt idx="3">
                        <c:v>0.92982456140350878</c:v>
                      </c:pt>
                      <c:pt idx="4">
                        <c:v>0.89830508474576276</c:v>
                      </c:pt>
                      <c:pt idx="5">
                        <c:v>0.89655172413793105</c:v>
                      </c:pt>
                      <c:pt idx="6">
                        <c:v>0.88095238095238093</c:v>
                      </c:pt>
                      <c:pt idx="7">
                        <c:v>0.8571428571428571</c:v>
                      </c:pt>
                      <c:pt idx="8">
                        <c:v>0.7857142857142857</c:v>
                      </c:pt>
                      <c:pt idx="9">
                        <c:v>0.64583333333333337</c:v>
                      </c:pt>
                      <c:pt idx="10">
                        <c:v>0.878</c:v>
                      </c:pt>
                    </c:numCache>
                  </c:numRef>
                </c:val>
                <c:extLst>
                  <c:ext xmlns:c16="http://schemas.microsoft.com/office/drawing/2014/chart" uri="{C3380CC4-5D6E-409C-BE32-E72D297353CC}">
                    <c16:uniqueId val="{00000001-165F-468F-A101-9E495A36EAC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Sheet4!$D$2</c15:sqref>
                        </c15:formulaRef>
                      </c:ext>
                    </c:extLst>
                    <c:strCache>
                      <c:ptCount val="1"/>
                      <c:pt idx="0">
                        <c:v>Average of Quality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Sheet4!$B$3:$B$13</c15:sqref>
                        </c15:formulaRef>
                      </c:ext>
                    </c:extLst>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extLst xmlns:c15="http://schemas.microsoft.com/office/drawing/2012/chart">
                      <c:ext xmlns:c15="http://schemas.microsoft.com/office/drawing/2012/chart" uri="{02D57815-91ED-43cb-92C2-25804820EDAC}">
                        <c15:formulaRef>
                          <c15:sqref>Sheet4!$D$3:$D$13</c15:sqref>
                        </c15:formulaRef>
                      </c:ext>
                    </c:extLst>
                    <c:numCache>
                      <c:formatCode>0%</c:formatCode>
                      <c:ptCount val="11"/>
                      <c:pt idx="0">
                        <c:v>0.98814565584689218</c:v>
                      </c:pt>
                      <c:pt idx="1">
                        <c:v>0.97841745107356071</c:v>
                      </c:pt>
                      <c:pt idx="2">
                        <c:v>0.98703947003178816</c:v>
                      </c:pt>
                      <c:pt idx="3">
                        <c:v>0.95726241049440808</c:v>
                      </c:pt>
                      <c:pt idx="4">
                        <c:v>0.93784884761068354</c:v>
                      </c:pt>
                      <c:pt idx="5">
                        <c:v>0.90815693933449515</c:v>
                      </c:pt>
                      <c:pt idx="6">
                        <c:v>0.96800494442260121</c:v>
                      </c:pt>
                      <c:pt idx="7">
                        <c:v>0.94802116212337662</c:v>
                      </c:pt>
                      <c:pt idx="8">
                        <c:v>0.9280510626377042</c:v>
                      </c:pt>
                      <c:pt idx="9">
                        <c:v>0.87861385004909887</c:v>
                      </c:pt>
                      <c:pt idx="10">
                        <c:v>0.94605704268470947</c:v>
                      </c:pt>
                    </c:numCache>
                  </c:numRef>
                </c:val>
                <c:extLst xmlns:c15="http://schemas.microsoft.com/office/drawing/2012/chart">
                  <c:ext xmlns:c16="http://schemas.microsoft.com/office/drawing/2014/chart" uri="{C3380CC4-5D6E-409C-BE32-E72D297353CC}">
                    <c16:uniqueId val="{00000002-165F-468F-A101-9E495A36EAC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Sheet4!$E$2</c15:sqref>
                        </c15:formulaRef>
                      </c:ext>
                    </c:extLst>
                    <c:strCache>
                      <c:ptCount val="1"/>
                      <c:pt idx="0">
                        <c:v>Average of Cost Score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Sheet4!$B$3:$B$13</c15:sqref>
                        </c15:formulaRef>
                      </c:ext>
                    </c:extLst>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extLst xmlns:c15="http://schemas.microsoft.com/office/drawing/2012/chart">
                      <c:ext xmlns:c15="http://schemas.microsoft.com/office/drawing/2012/chart" uri="{02D57815-91ED-43cb-92C2-25804820EDAC}">
                        <c15:formulaRef>
                          <c15:sqref>Sheet4!$E$3:$E$13</c15:sqref>
                        </c15:formulaRef>
                      </c:ext>
                    </c:extLst>
                    <c:numCache>
                      <c:formatCode>0%</c:formatCode>
                      <c:ptCount val="11"/>
                      <c:pt idx="0">
                        <c:v>7.6840886246513876E-2</c:v>
                      </c:pt>
                      <c:pt idx="1">
                        <c:v>8.0059281095738816E-2</c:v>
                      </c:pt>
                      <c:pt idx="2">
                        <c:v>9.8065088612125331E-2</c:v>
                      </c:pt>
                      <c:pt idx="3">
                        <c:v>6.6584592629716527E-2</c:v>
                      </c:pt>
                      <c:pt idx="4">
                        <c:v>8.2801658678178958E-2</c:v>
                      </c:pt>
                      <c:pt idx="5">
                        <c:v>9.7073878389304286E-2</c:v>
                      </c:pt>
                      <c:pt idx="6">
                        <c:v>5.4513852079533062E-2</c:v>
                      </c:pt>
                      <c:pt idx="7">
                        <c:v>0.12817136270201476</c:v>
                      </c:pt>
                      <c:pt idx="8">
                        <c:v>8.9797331993659038E-2</c:v>
                      </c:pt>
                      <c:pt idx="9">
                        <c:v>9.8883764672140315E-2</c:v>
                      </c:pt>
                      <c:pt idx="10">
                        <c:v>8.6823830108410632E-2</c:v>
                      </c:pt>
                    </c:numCache>
                  </c:numRef>
                </c:val>
                <c:extLst xmlns:c15="http://schemas.microsoft.com/office/drawing/2012/chart">
                  <c:ext xmlns:c16="http://schemas.microsoft.com/office/drawing/2014/chart" uri="{C3380CC4-5D6E-409C-BE32-E72D297353CC}">
                    <c16:uniqueId val="{00000003-165F-468F-A101-9E495A36EAC3}"/>
                  </c:ext>
                </c:extLst>
              </c15:ser>
            </c15:filteredBarSeries>
          </c:ext>
        </c:extLst>
      </c:barChart>
      <c:catAx>
        <c:axId val="376457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0245775"/>
        <c:crosses val="autoZero"/>
        <c:auto val="1"/>
        <c:lblAlgn val="ctr"/>
        <c:lblOffset val="100"/>
        <c:noMultiLvlLbl val="0"/>
      </c:catAx>
      <c:valAx>
        <c:axId val="213024577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6457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Sheet4!$D$2</c:f>
              <c:strCache>
                <c:ptCount val="1"/>
                <c:pt idx="0">
                  <c:v>Average of Quality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Sheet4!$B$3:$B$13</c:f>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f>Sheet4!$D$3:$D$13</c:f>
              <c:numCache>
                <c:formatCode>0%</c:formatCode>
                <c:ptCount val="11"/>
                <c:pt idx="0">
                  <c:v>0.98814565584689218</c:v>
                </c:pt>
                <c:pt idx="1">
                  <c:v>0.97841745107356071</c:v>
                </c:pt>
                <c:pt idx="2">
                  <c:v>0.98703947003178816</c:v>
                </c:pt>
                <c:pt idx="3">
                  <c:v>0.95726241049440808</c:v>
                </c:pt>
                <c:pt idx="4">
                  <c:v>0.93784884761068354</c:v>
                </c:pt>
                <c:pt idx="5">
                  <c:v>0.90815693933449515</c:v>
                </c:pt>
                <c:pt idx="6">
                  <c:v>0.96800494442260121</c:v>
                </c:pt>
                <c:pt idx="7">
                  <c:v>0.94802116212337662</c:v>
                </c:pt>
                <c:pt idx="8">
                  <c:v>0.9280510626377042</c:v>
                </c:pt>
                <c:pt idx="9">
                  <c:v>0.87861385004909887</c:v>
                </c:pt>
                <c:pt idx="10">
                  <c:v>0.94605704268470947</c:v>
                </c:pt>
              </c:numCache>
            </c:numRef>
          </c:val>
          <c:extLst>
            <c:ext xmlns:c16="http://schemas.microsoft.com/office/drawing/2014/chart" uri="{C3380CC4-5D6E-409C-BE32-E72D297353CC}">
              <c16:uniqueId val="{00000000-558E-4CC2-9847-7C8ECB266F34}"/>
            </c:ext>
          </c:extLst>
        </c:ser>
        <c:dLbls>
          <c:dLblPos val="inEnd"/>
          <c:showLegendKey val="0"/>
          <c:showVal val="1"/>
          <c:showCatName val="0"/>
          <c:showSerName val="0"/>
          <c:showPercent val="0"/>
          <c:showBubbleSize val="0"/>
        </c:dLbls>
        <c:gapWidth val="100"/>
        <c:overlap val="-24"/>
        <c:axId val="2127949871"/>
        <c:axId val="2130243375"/>
        <c:extLst>
          <c:ext xmlns:c15="http://schemas.microsoft.com/office/drawing/2012/chart" uri="{02D57815-91ED-43cb-92C2-25804820EDAC}">
            <c15:filteredBarSeries>
              <c15:ser>
                <c:idx val="0"/>
                <c:order val="0"/>
                <c:tx>
                  <c:strRef>
                    <c:extLst>
                      <c:ext uri="{02D57815-91ED-43cb-92C2-25804820EDAC}">
                        <c15:formulaRef>
                          <c15:sqref>Sheet4!$C$2</c15:sqref>
                        </c15:formulaRef>
                      </c:ext>
                    </c:extLst>
                    <c:strCache>
                      <c:ptCount val="1"/>
                      <c:pt idx="0">
                        <c:v>Average of OTD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Sheet4!$B$3:$B$13</c15:sqref>
                        </c15:formulaRef>
                      </c:ext>
                    </c:extLst>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extLst>
                      <c:ext uri="{02D57815-91ED-43cb-92C2-25804820EDAC}">
                        <c15:formulaRef>
                          <c15:sqref>Sheet4!$C$3:$C$13</c15:sqref>
                        </c15:formulaRef>
                      </c:ext>
                    </c:extLst>
                    <c:numCache>
                      <c:formatCode>0%</c:formatCode>
                      <c:ptCount val="11"/>
                      <c:pt idx="0">
                        <c:v>0.97872340425531912</c:v>
                      </c:pt>
                      <c:pt idx="1">
                        <c:v>0.95918367346938771</c:v>
                      </c:pt>
                      <c:pt idx="2">
                        <c:v>0.95238095238095233</c:v>
                      </c:pt>
                      <c:pt idx="3">
                        <c:v>0.92982456140350878</c:v>
                      </c:pt>
                      <c:pt idx="4">
                        <c:v>0.89830508474576276</c:v>
                      </c:pt>
                      <c:pt idx="5">
                        <c:v>0.89655172413793105</c:v>
                      </c:pt>
                      <c:pt idx="6">
                        <c:v>0.88095238095238093</c:v>
                      </c:pt>
                      <c:pt idx="7">
                        <c:v>0.8571428571428571</c:v>
                      </c:pt>
                      <c:pt idx="8">
                        <c:v>0.7857142857142857</c:v>
                      </c:pt>
                      <c:pt idx="9">
                        <c:v>0.64583333333333337</c:v>
                      </c:pt>
                      <c:pt idx="10">
                        <c:v>0.878</c:v>
                      </c:pt>
                    </c:numCache>
                  </c:numRef>
                </c:val>
                <c:extLst>
                  <c:ext xmlns:c16="http://schemas.microsoft.com/office/drawing/2014/chart" uri="{C3380CC4-5D6E-409C-BE32-E72D297353CC}">
                    <c16:uniqueId val="{00000001-558E-4CC2-9847-7C8ECB266F34}"/>
                  </c:ext>
                </c:extLst>
              </c15:ser>
            </c15:filteredBarSeries>
          </c:ext>
        </c:extLst>
      </c:barChart>
      <c:catAx>
        <c:axId val="2127949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0243375"/>
        <c:crosses val="autoZero"/>
        <c:auto val="1"/>
        <c:lblAlgn val="ctr"/>
        <c:lblOffset val="100"/>
        <c:noMultiLvlLbl val="0"/>
      </c:catAx>
      <c:valAx>
        <c:axId val="213024337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7949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PARETO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Sheet4!$C$2</c:f>
              <c:strCache>
                <c:ptCount val="1"/>
                <c:pt idx="0">
                  <c:v>Average of OTD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Sheet4!$B$3:$B$13</c:f>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f>Sheet4!$C$3:$C$13</c:f>
              <c:numCache>
                <c:formatCode>0%</c:formatCode>
                <c:ptCount val="11"/>
                <c:pt idx="0">
                  <c:v>0.97872340425531912</c:v>
                </c:pt>
                <c:pt idx="1">
                  <c:v>0.95918367346938771</c:v>
                </c:pt>
                <c:pt idx="2">
                  <c:v>0.95238095238095233</c:v>
                </c:pt>
                <c:pt idx="3">
                  <c:v>0.92982456140350878</c:v>
                </c:pt>
                <c:pt idx="4">
                  <c:v>0.89830508474576276</c:v>
                </c:pt>
                <c:pt idx="5">
                  <c:v>0.89655172413793105</c:v>
                </c:pt>
                <c:pt idx="6">
                  <c:v>0.88095238095238093</c:v>
                </c:pt>
                <c:pt idx="7">
                  <c:v>0.8571428571428571</c:v>
                </c:pt>
                <c:pt idx="8">
                  <c:v>0.7857142857142857</c:v>
                </c:pt>
                <c:pt idx="9">
                  <c:v>0.64583333333333337</c:v>
                </c:pt>
                <c:pt idx="10">
                  <c:v>0.878</c:v>
                </c:pt>
              </c:numCache>
            </c:numRef>
          </c:val>
          <c:extLst>
            <c:ext xmlns:c16="http://schemas.microsoft.com/office/drawing/2014/chart" uri="{C3380CC4-5D6E-409C-BE32-E72D297353CC}">
              <c16:uniqueId val="{00000000-E4B3-4C5C-973E-8D00C9589ED8}"/>
            </c:ext>
          </c:extLst>
        </c:ser>
        <c:ser>
          <c:idx val="1"/>
          <c:order val="1"/>
          <c:tx>
            <c:strRef>
              <c:f>Sheet4!$D$2</c:f>
              <c:strCache>
                <c:ptCount val="1"/>
                <c:pt idx="0">
                  <c:v>Average of Quality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Sheet4!$B$3:$B$13</c:f>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f>Sheet4!$D$3:$D$13</c:f>
              <c:numCache>
                <c:formatCode>0%</c:formatCode>
                <c:ptCount val="11"/>
                <c:pt idx="0">
                  <c:v>0.98814565584689218</c:v>
                </c:pt>
                <c:pt idx="1">
                  <c:v>0.97841745107356071</c:v>
                </c:pt>
                <c:pt idx="2">
                  <c:v>0.98703947003178816</c:v>
                </c:pt>
                <c:pt idx="3">
                  <c:v>0.95726241049440808</c:v>
                </c:pt>
                <c:pt idx="4">
                  <c:v>0.93784884761068354</c:v>
                </c:pt>
                <c:pt idx="5">
                  <c:v>0.90815693933449515</c:v>
                </c:pt>
                <c:pt idx="6">
                  <c:v>0.96800494442260121</c:v>
                </c:pt>
                <c:pt idx="7">
                  <c:v>0.94802116212337662</c:v>
                </c:pt>
                <c:pt idx="8">
                  <c:v>0.9280510626377042</c:v>
                </c:pt>
                <c:pt idx="9">
                  <c:v>0.87861385004909887</c:v>
                </c:pt>
                <c:pt idx="10">
                  <c:v>0.94605704268470947</c:v>
                </c:pt>
              </c:numCache>
            </c:numRef>
          </c:val>
          <c:extLst>
            <c:ext xmlns:c16="http://schemas.microsoft.com/office/drawing/2014/chart" uri="{C3380CC4-5D6E-409C-BE32-E72D297353CC}">
              <c16:uniqueId val="{00000001-E4B3-4C5C-973E-8D00C9589ED8}"/>
            </c:ext>
          </c:extLst>
        </c:ser>
        <c:dLbls>
          <c:showLegendKey val="0"/>
          <c:showVal val="0"/>
          <c:showCatName val="0"/>
          <c:showSerName val="0"/>
          <c:showPercent val="0"/>
          <c:showBubbleSize val="0"/>
        </c:dLbls>
        <c:gapWidth val="247"/>
        <c:overlap val="-27"/>
        <c:axId val="376511679"/>
        <c:axId val="2130254415"/>
      </c:barChart>
      <c:lineChart>
        <c:grouping val="standard"/>
        <c:varyColors val="0"/>
        <c:ser>
          <c:idx val="2"/>
          <c:order val="2"/>
          <c:tx>
            <c:strRef>
              <c:f>Sheet4!$E$2</c:f>
              <c:strCache>
                <c:ptCount val="1"/>
                <c:pt idx="0">
                  <c:v>Average of Cost Score</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Sheet4!$B$3:$B$13</c:f>
              <c:strCache>
                <c:ptCount val="11"/>
                <c:pt idx="0">
                  <c:v>Vertex Solutions</c:v>
                </c:pt>
                <c:pt idx="1">
                  <c:v>Epsilon Systems</c:v>
                </c:pt>
                <c:pt idx="2">
                  <c:v>Alpha Electronics</c:v>
                </c:pt>
                <c:pt idx="3">
                  <c:v>Nexus Parts</c:v>
                </c:pt>
                <c:pt idx="4">
                  <c:v>Gamma Technologies</c:v>
                </c:pt>
                <c:pt idx="5">
                  <c:v>Delta Supplies</c:v>
                </c:pt>
                <c:pt idx="6">
                  <c:v>Beta Components</c:v>
                </c:pt>
                <c:pt idx="7">
                  <c:v>Prime Circuits</c:v>
                </c:pt>
                <c:pt idx="8">
                  <c:v>Zenith Manufacturing</c:v>
                </c:pt>
                <c:pt idx="9">
                  <c:v>Omega Industries</c:v>
                </c:pt>
                <c:pt idx="10">
                  <c:v>Grand Total</c:v>
                </c:pt>
              </c:strCache>
            </c:strRef>
          </c:cat>
          <c:val>
            <c:numRef>
              <c:f>Sheet4!$E$3:$E$13</c:f>
              <c:numCache>
                <c:formatCode>0%</c:formatCode>
                <c:ptCount val="11"/>
                <c:pt idx="0">
                  <c:v>7.6840886246513876E-2</c:v>
                </c:pt>
                <c:pt idx="1">
                  <c:v>8.0059281095738816E-2</c:v>
                </c:pt>
                <c:pt idx="2">
                  <c:v>9.8065088612125331E-2</c:v>
                </c:pt>
                <c:pt idx="3">
                  <c:v>6.6584592629716527E-2</c:v>
                </c:pt>
                <c:pt idx="4">
                  <c:v>8.2801658678178958E-2</c:v>
                </c:pt>
                <c:pt idx="5">
                  <c:v>9.7073878389304286E-2</c:v>
                </c:pt>
                <c:pt idx="6">
                  <c:v>5.4513852079533062E-2</c:v>
                </c:pt>
                <c:pt idx="7">
                  <c:v>0.12817136270201476</c:v>
                </c:pt>
                <c:pt idx="8">
                  <c:v>8.9797331993659038E-2</c:v>
                </c:pt>
                <c:pt idx="9">
                  <c:v>9.8883764672140315E-2</c:v>
                </c:pt>
                <c:pt idx="10">
                  <c:v>8.6823830108410632E-2</c:v>
                </c:pt>
              </c:numCache>
            </c:numRef>
          </c:val>
          <c:smooth val="0"/>
          <c:extLst>
            <c:ext xmlns:c16="http://schemas.microsoft.com/office/drawing/2014/chart" uri="{C3380CC4-5D6E-409C-BE32-E72D297353CC}">
              <c16:uniqueId val="{00000002-E4B3-4C5C-973E-8D00C9589ED8}"/>
            </c:ext>
          </c:extLst>
        </c:ser>
        <c:dLbls>
          <c:showLegendKey val="0"/>
          <c:showVal val="0"/>
          <c:showCatName val="0"/>
          <c:showSerName val="0"/>
          <c:showPercent val="0"/>
          <c:showBubbleSize val="0"/>
        </c:dLbls>
        <c:marker val="1"/>
        <c:smooth val="0"/>
        <c:axId val="376544159"/>
        <c:axId val="2130258255"/>
      </c:lineChart>
      <c:catAx>
        <c:axId val="376511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0254415"/>
        <c:crosses val="autoZero"/>
        <c:auto val="1"/>
        <c:lblAlgn val="ctr"/>
        <c:lblOffset val="100"/>
        <c:noMultiLvlLbl val="0"/>
      </c:catAx>
      <c:valAx>
        <c:axId val="213025441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6511679"/>
        <c:crosses val="autoZero"/>
        <c:crossBetween val="between"/>
      </c:valAx>
      <c:valAx>
        <c:axId val="213025825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6544159"/>
        <c:crosses val="max"/>
        <c:crossBetween val="between"/>
      </c:valAx>
      <c:catAx>
        <c:axId val="376544159"/>
        <c:scaling>
          <c:orientation val="minMax"/>
        </c:scaling>
        <c:delete val="1"/>
        <c:axPos val="b"/>
        <c:numFmt formatCode="General" sourceLinked="1"/>
        <c:majorTickMark val="none"/>
        <c:minorTickMark val="none"/>
        <c:tickLblPos val="nextTo"/>
        <c:crossAx val="21302582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10</xdr:col>
      <xdr:colOff>494542</xdr:colOff>
      <xdr:row>27</xdr:row>
      <xdr:rowOff>1589</xdr:rowOff>
    </xdr:from>
    <xdr:to>
      <xdr:col>11</xdr:col>
      <xdr:colOff>1172276</xdr:colOff>
      <xdr:row>42</xdr:row>
      <xdr:rowOff>55164</xdr:rowOff>
    </xdr:to>
    <mc:AlternateContent xmlns:mc="http://schemas.openxmlformats.org/markup-compatibility/2006">
      <mc:Choice xmlns:a14="http://schemas.microsoft.com/office/drawing/2010/main" Requires="a14">
        <xdr:graphicFrame macro="">
          <xdr:nvGraphicFramePr>
            <xdr:cNvPr id="12" name="Vendor Name">
              <a:extLst>
                <a:ext uri="{FF2B5EF4-FFF2-40B4-BE49-F238E27FC236}">
                  <a16:creationId xmlns:a16="http://schemas.microsoft.com/office/drawing/2014/main" id="{F521FD28-6F66-691D-EA15-D88BB6D7B2F7}"/>
                </a:ext>
              </a:extLst>
            </xdr:cNvPr>
            <xdr:cNvGraphicFramePr/>
          </xdr:nvGraphicFramePr>
          <xdr:xfrm>
            <a:off x="0" y="0"/>
            <a:ext cx="0" cy="0"/>
          </xdr:xfrm>
          <a:graphic>
            <a:graphicData uri="http://schemas.microsoft.com/office/drawing/2010/slicer">
              <sle:slicer xmlns:sle="http://schemas.microsoft.com/office/drawing/2010/slicer" name="Vendor Name"/>
            </a:graphicData>
          </a:graphic>
        </xdr:graphicFrame>
      </mc:Choice>
      <mc:Fallback>
        <xdr:sp macro="" textlink="">
          <xdr:nvSpPr>
            <xdr:cNvPr id="0" name=""/>
            <xdr:cNvSpPr>
              <a:spLocks noTextEdit="1"/>
            </xdr:cNvSpPr>
          </xdr:nvSpPr>
          <xdr:spPr>
            <a:xfrm>
              <a:off x="12945779" y="4950661"/>
              <a:ext cx="1842992" cy="280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829360</xdr:colOff>
      <xdr:row>28</xdr:row>
      <xdr:rowOff>13132</xdr:rowOff>
    </xdr:from>
    <xdr:to>
      <xdr:col>9</xdr:col>
      <xdr:colOff>1266030</xdr:colOff>
      <xdr:row>42</xdr:row>
      <xdr:rowOff>373</xdr:rowOff>
    </xdr:to>
    <mc:AlternateContent xmlns:mc="http://schemas.openxmlformats.org/markup-compatibility/2006">
      <mc:Choice xmlns:a14="http://schemas.microsoft.com/office/drawing/2010/main" Requires="a14">
        <xdr:graphicFrame macro="">
          <xdr:nvGraphicFramePr>
            <xdr:cNvPr id="13" name="Month">
              <a:extLst>
                <a:ext uri="{FF2B5EF4-FFF2-40B4-BE49-F238E27FC236}">
                  <a16:creationId xmlns:a16="http://schemas.microsoft.com/office/drawing/2014/main" id="{3841EED2-0D6B-6C2B-6936-1D8B5106549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596576" y="5145503"/>
              <a:ext cx="1837598" cy="2553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1125980</xdr:colOff>
      <xdr:row>45</xdr:row>
      <xdr:rowOff>0</xdr:rowOff>
    </xdr:from>
    <xdr:to>
      <xdr:col>14</xdr:col>
      <xdr:colOff>687371</xdr:colOff>
      <xdr:row>46</xdr:row>
      <xdr:rowOff>52371</xdr:rowOff>
    </xdr:to>
    <xdr:sp macro="" textlink="">
      <xdr:nvSpPr>
        <xdr:cNvPr id="25" name="TextBox 24">
          <a:extLst>
            <a:ext uri="{FF2B5EF4-FFF2-40B4-BE49-F238E27FC236}">
              <a16:creationId xmlns:a16="http://schemas.microsoft.com/office/drawing/2014/main" id="{B8847E2E-82DF-8770-64D9-69FFE9E9581A}"/>
            </a:ext>
          </a:extLst>
        </xdr:cNvPr>
        <xdr:cNvSpPr txBox="1"/>
      </xdr:nvSpPr>
      <xdr:spPr>
        <a:xfrm>
          <a:off x="17655619" y="8248454"/>
          <a:ext cx="1034329" cy="23567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Delivery Risk</a:t>
          </a:r>
        </a:p>
      </xdr:txBody>
    </xdr:sp>
    <xdr:clientData/>
  </xdr:twoCellAnchor>
  <xdr:twoCellAnchor>
    <xdr:from>
      <xdr:col>12</xdr:col>
      <xdr:colOff>316060</xdr:colOff>
      <xdr:row>52</xdr:row>
      <xdr:rowOff>1834</xdr:rowOff>
    </xdr:from>
    <xdr:to>
      <xdr:col>13</xdr:col>
      <xdr:colOff>178585</xdr:colOff>
      <xdr:row>53</xdr:row>
      <xdr:rowOff>54205</xdr:rowOff>
    </xdr:to>
    <xdr:sp macro="" textlink="">
      <xdr:nvSpPr>
        <xdr:cNvPr id="26" name="TextBox 25">
          <a:extLst>
            <a:ext uri="{FF2B5EF4-FFF2-40B4-BE49-F238E27FC236}">
              <a16:creationId xmlns:a16="http://schemas.microsoft.com/office/drawing/2014/main" id="{BD2F19CF-CA5D-4D31-8E53-8027ED2B3DBD}"/>
            </a:ext>
          </a:extLst>
        </xdr:cNvPr>
        <xdr:cNvSpPr txBox="1"/>
      </xdr:nvSpPr>
      <xdr:spPr>
        <a:xfrm>
          <a:off x="15673895" y="9533380"/>
          <a:ext cx="1034329" cy="23567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Quality Risk</a:t>
          </a:r>
        </a:p>
      </xdr:txBody>
    </xdr:sp>
    <xdr:clientData/>
  </xdr:twoCellAnchor>
  <xdr:twoCellAnchor>
    <xdr:from>
      <xdr:col>13</xdr:col>
      <xdr:colOff>1136193</xdr:colOff>
      <xdr:row>53</xdr:row>
      <xdr:rowOff>10213</xdr:rowOff>
    </xdr:from>
    <xdr:to>
      <xdr:col>14</xdr:col>
      <xdr:colOff>772475</xdr:colOff>
      <xdr:row>54</xdr:row>
      <xdr:rowOff>65464</xdr:rowOff>
    </xdr:to>
    <xdr:sp macro="" textlink="">
      <xdr:nvSpPr>
        <xdr:cNvPr id="27" name="TextBox 26">
          <a:extLst>
            <a:ext uri="{FF2B5EF4-FFF2-40B4-BE49-F238E27FC236}">
              <a16:creationId xmlns:a16="http://schemas.microsoft.com/office/drawing/2014/main" id="{0ADA001F-475D-4FAA-9E9C-A60081794161}"/>
            </a:ext>
          </a:extLst>
        </xdr:cNvPr>
        <xdr:cNvSpPr txBox="1"/>
      </xdr:nvSpPr>
      <xdr:spPr>
        <a:xfrm>
          <a:off x="17665832" y="9725058"/>
          <a:ext cx="1109220" cy="23855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Critical Supplier</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3775</xdr:rowOff>
    </xdr:from>
    <xdr:to>
      <xdr:col>8</xdr:col>
      <xdr:colOff>206460</xdr:colOff>
      <xdr:row>22</xdr:row>
      <xdr:rowOff>164928</xdr:rowOff>
    </xdr:to>
    <xdr:graphicFrame macro="">
      <xdr:nvGraphicFramePr>
        <xdr:cNvPr id="2" name="Chart 1">
          <a:extLst>
            <a:ext uri="{FF2B5EF4-FFF2-40B4-BE49-F238E27FC236}">
              <a16:creationId xmlns:a16="http://schemas.microsoft.com/office/drawing/2014/main" id="{B5388F68-10A6-2E82-F0E2-0A113D723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306967</xdr:colOff>
      <xdr:row>7</xdr:row>
      <xdr:rowOff>58928</xdr:rowOff>
    </xdr:from>
    <xdr:to>
      <xdr:col>11</xdr:col>
      <xdr:colOff>539152</xdr:colOff>
      <xdr:row>22</xdr:row>
      <xdr:rowOff>23962</xdr:rowOff>
    </xdr:to>
    <mc:AlternateContent xmlns:mc="http://schemas.openxmlformats.org/markup-compatibility/2006">
      <mc:Choice xmlns:a14="http://schemas.microsoft.com/office/drawing/2010/main" Requires="a14">
        <xdr:graphicFrame macro="">
          <xdr:nvGraphicFramePr>
            <xdr:cNvPr id="3" name="Vendor Name 2">
              <a:extLst>
                <a:ext uri="{FF2B5EF4-FFF2-40B4-BE49-F238E27FC236}">
                  <a16:creationId xmlns:a16="http://schemas.microsoft.com/office/drawing/2014/main" id="{DFDC5883-2F6B-3F65-0E50-B5C975097EE1}"/>
                </a:ext>
              </a:extLst>
            </xdr:cNvPr>
            <xdr:cNvGraphicFramePr/>
          </xdr:nvGraphicFramePr>
          <xdr:xfrm>
            <a:off x="0" y="0"/>
            <a:ext cx="0" cy="0"/>
          </xdr:xfrm>
          <a:graphic>
            <a:graphicData uri="http://schemas.microsoft.com/office/drawing/2010/slicer">
              <sle:slicer xmlns:sle="http://schemas.microsoft.com/office/drawing/2010/slicer" name="Vendor Name 2"/>
            </a:graphicData>
          </a:graphic>
        </xdr:graphicFrame>
      </mc:Choice>
      <mc:Fallback>
        <xdr:sp macro="" textlink="">
          <xdr:nvSpPr>
            <xdr:cNvPr id="0" name=""/>
            <xdr:cNvSpPr>
              <a:spLocks noTextEdit="1"/>
            </xdr:cNvSpPr>
          </xdr:nvSpPr>
          <xdr:spPr>
            <a:xfrm>
              <a:off x="5259967" y="1849628"/>
              <a:ext cx="2060985" cy="2822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23</xdr:row>
      <xdr:rowOff>7707</xdr:rowOff>
    </xdr:from>
    <xdr:to>
      <xdr:col>8</xdr:col>
      <xdr:colOff>205945</xdr:colOff>
      <xdr:row>38</xdr:row>
      <xdr:rowOff>34324</xdr:rowOff>
    </xdr:to>
    <xdr:graphicFrame macro="">
      <xdr:nvGraphicFramePr>
        <xdr:cNvPr id="4" name="Chart 1">
          <a:extLst>
            <a:ext uri="{FF2B5EF4-FFF2-40B4-BE49-F238E27FC236}">
              <a16:creationId xmlns:a16="http://schemas.microsoft.com/office/drawing/2014/main" id="{9E1A53AE-DE62-0E9F-8244-B9F639DCD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218183</xdr:colOff>
      <xdr:row>22</xdr:row>
      <xdr:rowOff>126748</xdr:rowOff>
    </xdr:from>
    <xdr:to>
      <xdr:col>13</xdr:col>
      <xdr:colOff>2060965</xdr:colOff>
      <xdr:row>39</xdr:row>
      <xdr:rowOff>9248</xdr:rowOff>
    </xdr:to>
    <xdr:graphicFrame macro="">
      <xdr:nvGraphicFramePr>
        <xdr:cNvPr id="9" name="Chart 3">
          <a:extLst>
            <a:ext uri="{FF2B5EF4-FFF2-40B4-BE49-F238E27FC236}">
              <a16:creationId xmlns:a16="http://schemas.microsoft.com/office/drawing/2014/main" id="{011F598C-3DCF-CF31-2861-A119B303A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547415</xdr:colOff>
      <xdr:row>14</xdr:row>
      <xdr:rowOff>119811</xdr:rowOff>
    </xdr:from>
    <xdr:to>
      <xdr:col>14</xdr:col>
      <xdr:colOff>0</xdr:colOff>
      <xdr:row>22</xdr:row>
      <xdr:rowOff>35943</xdr:rowOff>
    </xdr:to>
    <xdr:sp macro="" textlink="">
      <xdr:nvSpPr>
        <xdr:cNvPr id="10" name="TextBox 9">
          <a:extLst>
            <a:ext uri="{FF2B5EF4-FFF2-40B4-BE49-F238E27FC236}">
              <a16:creationId xmlns:a16="http://schemas.microsoft.com/office/drawing/2014/main" id="{65957F80-297F-72D8-4EE6-C256CB00F01F}"/>
            </a:ext>
          </a:extLst>
        </xdr:cNvPr>
        <xdr:cNvSpPr txBox="1"/>
      </xdr:nvSpPr>
      <xdr:spPr>
        <a:xfrm>
          <a:off x="7951755" y="3127075"/>
          <a:ext cx="3018005" cy="1353868"/>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Executive</a:t>
          </a:r>
          <a:r>
            <a:rPr lang="en-IN" sz="1200" b="1" baseline="0"/>
            <a:t> Insights</a:t>
          </a:r>
          <a:br>
            <a:rPr lang="en-IN" sz="1200" b="1"/>
          </a:br>
          <a:r>
            <a:rPr lang="en-IN" sz="1100" b="1">
              <a:solidFill>
                <a:schemeClr val="dk1"/>
              </a:solidFill>
              <a:effectLst/>
              <a:latin typeface="+mn-lt"/>
              <a:ea typeface="+mn-ea"/>
              <a:cs typeface="+mn-cs"/>
            </a:rPr>
            <a:t>• </a:t>
          </a:r>
          <a:r>
            <a:rPr lang="en-IN" sz="1200" b="1"/>
            <a:t>Vertex Solutions is the highest-performing supplier with 89% score.</a:t>
          </a:r>
        </a:p>
        <a:p>
          <a:r>
            <a:rPr lang="en-IN" sz="1200" b="1"/>
            <a:t>• Omega Industries has the lowest vendor score at 72%.</a:t>
          </a:r>
        </a:p>
        <a:p>
          <a:r>
            <a:rPr lang="en-IN" sz="1200" b="1"/>
            <a:t>• Average supplier OTD is 88%.</a:t>
          </a:r>
        </a:p>
        <a:p>
          <a:r>
            <a:rPr lang="en-IN" sz="1200" b="1"/>
            <a:t>• Total supplier spend is ₹15.31 Cr.</a:t>
          </a:r>
        </a:p>
        <a:p>
          <a:r>
            <a:rPr lang="en-IN" sz="1200" b="1"/>
            <a:t>• Top 3 suppliers contribute 34%</a:t>
          </a:r>
          <a:r>
            <a:rPr lang="en-IN" sz="1200" b="1" baseline="0"/>
            <a:t> </a:t>
          </a:r>
          <a:r>
            <a:rPr lang="en-IN" sz="1200" b="1"/>
            <a:t>of total spend.</a:t>
          </a:r>
        </a:p>
      </xdr:txBody>
    </xdr:sp>
    <xdr:clientData/>
  </xdr:twoCellAnchor>
  <xdr:twoCellAnchor>
    <xdr:from>
      <xdr:col>13</xdr:col>
      <xdr:colOff>2076895</xdr:colOff>
      <xdr:row>26</xdr:row>
      <xdr:rowOff>152400</xdr:rowOff>
    </xdr:from>
    <xdr:to>
      <xdr:col>21</xdr:col>
      <xdr:colOff>245087</xdr:colOff>
      <xdr:row>45</xdr:row>
      <xdr:rowOff>153233</xdr:rowOff>
    </xdr:to>
    <xdr:graphicFrame macro="">
      <xdr:nvGraphicFramePr>
        <xdr:cNvPr id="12" name="Chart 6">
          <a:extLst>
            <a:ext uri="{FF2B5EF4-FFF2-40B4-BE49-F238E27FC236}">
              <a16:creationId xmlns:a16="http://schemas.microsoft.com/office/drawing/2014/main" id="{A73A2768-732D-86BA-E23B-646F02AAA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63500</xdr:colOff>
      <xdr:row>6</xdr:row>
      <xdr:rowOff>38100</xdr:rowOff>
    </xdr:from>
    <xdr:to>
      <xdr:col>21</xdr:col>
      <xdr:colOff>228599</xdr:colOff>
      <xdr:row>26</xdr:row>
      <xdr:rowOff>139700</xdr:rowOff>
    </xdr:to>
    <xdr:graphicFrame macro="">
      <xdr:nvGraphicFramePr>
        <xdr:cNvPr id="13" name="Chart 7">
          <a:extLst>
            <a:ext uri="{FF2B5EF4-FFF2-40B4-BE49-F238E27FC236}">
              <a16:creationId xmlns:a16="http://schemas.microsoft.com/office/drawing/2014/main" id="{87AC2892-1AAB-1BE8-BF09-3997AD79D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295392</xdr:colOff>
      <xdr:row>0</xdr:row>
      <xdr:rowOff>168190</xdr:rowOff>
    </xdr:from>
    <xdr:to>
      <xdr:col>33</xdr:col>
      <xdr:colOff>584200</xdr:colOff>
      <xdr:row>22</xdr:row>
      <xdr:rowOff>50799</xdr:rowOff>
    </xdr:to>
    <xdr:graphicFrame macro="">
      <xdr:nvGraphicFramePr>
        <xdr:cNvPr id="16" name="Chart 23">
          <a:extLst>
            <a:ext uri="{FF2B5EF4-FFF2-40B4-BE49-F238E27FC236}">
              <a16:creationId xmlns:a16="http://schemas.microsoft.com/office/drawing/2014/main" id="{8720DA02-BEBE-4060-8D61-0E92CFF2A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279400</xdr:colOff>
      <xdr:row>22</xdr:row>
      <xdr:rowOff>152400</xdr:rowOff>
    </xdr:from>
    <xdr:to>
      <xdr:col>33</xdr:col>
      <xdr:colOff>584200</xdr:colOff>
      <xdr:row>45</xdr:row>
      <xdr:rowOff>127000</xdr:rowOff>
    </xdr:to>
    <xdr:graphicFrame macro="">
      <xdr:nvGraphicFramePr>
        <xdr:cNvPr id="17" name="Chart 28">
          <a:extLst>
            <a:ext uri="{FF2B5EF4-FFF2-40B4-BE49-F238E27FC236}">
              <a16:creationId xmlns:a16="http://schemas.microsoft.com/office/drawing/2014/main" id="{95D99978-3CF6-AB06-97DC-39E6426C0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xdr:colOff>
      <xdr:row>38</xdr:row>
      <xdr:rowOff>165100</xdr:rowOff>
    </xdr:from>
    <xdr:to>
      <xdr:col>13</xdr:col>
      <xdr:colOff>1993901</xdr:colOff>
      <xdr:row>45</xdr:row>
      <xdr:rowOff>178246</xdr:rowOff>
    </xdr:to>
    <xdr:sp macro="" textlink="">
      <xdr:nvSpPr>
        <xdr:cNvPr id="18" name="TextBox 17">
          <a:extLst>
            <a:ext uri="{FF2B5EF4-FFF2-40B4-BE49-F238E27FC236}">
              <a16:creationId xmlns:a16="http://schemas.microsoft.com/office/drawing/2014/main" id="{2335ECF9-0666-010D-DE59-A5296CF985A9}"/>
            </a:ext>
          </a:extLst>
        </xdr:cNvPr>
        <xdr:cNvSpPr txBox="1"/>
      </xdr:nvSpPr>
      <xdr:spPr>
        <a:xfrm>
          <a:off x="1" y="7861300"/>
          <a:ext cx="11074400" cy="134664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100" b="1" baseline="0">
              <a:solidFill>
                <a:schemeClr val="dk1"/>
              </a:solidFill>
              <a:effectLst/>
              <a:latin typeface="+mn-lt"/>
              <a:ea typeface="+mn-ea"/>
              <a:cs typeface="+mn-cs"/>
            </a:rPr>
            <a:t>                                                                                                                                                                            </a:t>
          </a:r>
          <a:r>
            <a:rPr lang="en-IN" sz="1500" b="1" baseline="0">
              <a:solidFill>
                <a:schemeClr val="dk1"/>
              </a:solidFill>
              <a:effectLst/>
              <a:latin typeface="+mn-lt"/>
              <a:ea typeface="+mn-ea"/>
              <a:cs typeface="+mn-cs"/>
            </a:rPr>
            <a:t>Executive Insights</a:t>
          </a:r>
          <a:endParaRPr lang="en-IN" sz="1500" b="1"/>
        </a:p>
        <a:p>
          <a:pPr marL="171450" indent="-171450">
            <a:buFont typeface="Arial" panose="020B0604020202020204" pitchFamily="34" charset="0"/>
            <a:buChar char="•"/>
          </a:pPr>
          <a:r>
            <a:rPr lang="en-IN" sz="1500" b="1"/>
            <a:t>Approximately 85% of procurement spend is concentrated among the top 8 suppliers</a:t>
          </a:r>
          <a:r>
            <a:rPr lang="en-IN" sz="1500"/>
            <a:t>, indicating the importance of focused supplier relationship management and risk mitigation for high-spend vendors.</a:t>
          </a:r>
        </a:p>
        <a:p>
          <a:pPr marL="171450" indent="-171450">
            <a:buFont typeface="Arial" panose="020B0604020202020204" pitchFamily="34" charset="0"/>
            <a:buChar char="•"/>
          </a:pPr>
          <a:r>
            <a:rPr lang="en-IN" sz="1500"/>
            <a:t> Vertex Solutions is the highest-performing supplier. </a:t>
          </a:r>
        </a:p>
        <a:p>
          <a:pPr marL="171450" indent="-171450">
            <a:buFont typeface="Arial" panose="020B0604020202020204" pitchFamily="34" charset="0"/>
            <a:buChar char="•"/>
          </a:pPr>
          <a:r>
            <a:rPr lang="en-IN" sz="1500"/>
            <a:t> Omega Industries requires improvement in delivery and quality performance.</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0.51762</cdr:x>
      <cdr:y>0.6287</cdr:y>
    </cdr:from>
    <cdr:to>
      <cdr:x>0.64511</cdr:x>
      <cdr:y>0.66497</cdr:y>
    </cdr:to>
    <cdr:sp macro="" textlink="'PIVOT TABLE'!$A$47">
      <cdr:nvSpPr>
        <cdr:cNvPr id="2" name="TextBox 1">
          <a:extLst xmlns:a="http://schemas.openxmlformats.org/drawingml/2006/main">
            <a:ext uri="{FF2B5EF4-FFF2-40B4-BE49-F238E27FC236}">
              <a16:creationId xmlns:a16="http://schemas.microsoft.com/office/drawing/2014/main" id="{5498E468-7B79-0AF1-87F1-1960115F188A}"/>
            </a:ext>
          </a:extLst>
        </cdr:cNvPr>
        <cdr:cNvSpPr txBox="1"/>
      </cdr:nvSpPr>
      <cdr:spPr>
        <a:xfrm xmlns:a="http://schemas.openxmlformats.org/drawingml/2006/main">
          <a:off x="2366561" y="1724640"/>
          <a:ext cx="582873" cy="995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C90A51F-5832-4FF3-967E-1B9622C2982E}" type="TxLink">
            <a:rPr lang="en-US" sz="1100" b="0" i="0" u="none" strike="noStrike" kern="1200">
              <a:solidFill>
                <a:srgbClr val="000000"/>
              </a:solidFill>
              <a:latin typeface="Aptos Narrow"/>
            </a:rPr>
            <a:pPr/>
            <a:t> </a:t>
          </a:fld>
          <a:endParaRPr lang="en-IN" sz="1100" kern="1200"/>
        </a:p>
      </cdr:txBody>
    </cdr:sp>
  </cdr:relSizeAnchor>
  <cdr:relSizeAnchor xmlns:cdr="http://schemas.openxmlformats.org/drawingml/2006/chartDrawing">
    <cdr:from>
      <cdr:x>0.51762</cdr:x>
      <cdr:y>0.6287</cdr:y>
    </cdr:from>
    <cdr:to>
      <cdr:x>0.64511</cdr:x>
      <cdr:y>0.66497</cdr:y>
    </cdr:to>
    <cdr:sp macro="" textlink="'PIVOT TABLE'!$A$47">
      <cdr:nvSpPr>
        <cdr:cNvPr id="7" name="TextBox 1">
          <a:extLst xmlns:a="http://schemas.openxmlformats.org/drawingml/2006/main">
            <a:ext uri="{FF2B5EF4-FFF2-40B4-BE49-F238E27FC236}">
              <a16:creationId xmlns:a16="http://schemas.microsoft.com/office/drawing/2014/main" id="{5498E468-7B79-0AF1-87F1-1960115F188A}"/>
            </a:ext>
          </a:extLst>
        </cdr:cNvPr>
        <cdr:cNvSpPr txBox="1"/>
      </cdr:nvSpPr>
      <cdr:spPr>
        <a:xfrm xmlns:a="http://schemas.openxmlformats.org/drawingml/2006/main">
          <a:off x="2366561" y="1724640"/>
          <a:ext cx="582873" cy="995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C90A51F-5832-4FF3-967E-1B9622C2982E}" type="TxLink">
            <a:rPr lang="en-US" sz="1100" b="0" i="0" u="none" strike="noStrike" kern="1200">
              <a:solidFill>
                <a:srgbClr val="000000"/>
              </a:solidFill>
              <a:latin typeface="Aptos Narrow"/>
            </a:rPr>
            <a:pPr/>
            <a:t> </a:t>
          </a:fld>
          <a:endParaRPr lang="en-IN" sz="1100" kern="1200"/>
        </a:p>
      </cdr:txBody>
    </cdr:sp>
  </cdr:relSizeAnchor>
  <cdr:relSizeAnchor xmlns:cdr="http://schemas.openxmlformats.org/drawingml/2006/chartDrawing">
    <cdr:from>
      <cdr:x>0.51762</cdr:x>
      <cdr:y>0.6287</cdr:y>
    </cdr:from>
    <cdr:to>
      <cdr:x>0.64511</cdr:x>
      <cdr:y>0.66497</cdr:y>
    </cdr:to>
    <cdr:sp macro="" textlink="'PIVOT TABLE'!$A$47">
      <cdr:nvSpPr>
        <cdr:cNvPr id="12" name="TextBox 1">
          <a:extLst xmlns:a="http://schemas.openxmlformats.org/drawingml/2006/main">
            <a:ext uri="{FF2B5EF4-FFF2-40B4-BE49-F238E27FC236}">
              <a16:creationId xmlns:a16="http://schemas.microsoft.com/office/drawing/2014/main" id="{5498E468-7B79-0AF1-87F1-1960115F188A}"/>
            </a:ext>
          </a:extLst>
        </cdr:cNvPr>
        <cdr:cNvSpPr txBox="1"/>
      </cdr:nvSpPr>
      <cdr:spPr>
        <a:xfrm xmlns:a="http://schemas.openxmlformats.org/drawingml/2006/main">
          <a:off x="2366561" y="1724640"/>
          <a:ext cx="582873" cy="995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C90A51F-5832-4FF3-967E-1B9622C2982E}" type="TxLink">
            <a:rPr lang="en-US" sz="1100" b="0" i="0" u="none" strike="noStrike" kern="1200">
              <a:solidFill>
                <a:srgbClr val="000000"/>
              </a:solidFill>
              <a:latin typeface="Aptos Narrow"/>
            </a:rPr>
            <a:pPr/>
            <a:t> </a:t>
          </a:fld>
          <a:endParaRPr lang="en-IN" sz="1100" kern="1200"/>
        </a:p>
      </cdr:txBody>
    </cdr:sp>
  </cdr:relSizeAnchor>
  <cdr:relSizeAnchor xmlns:cdr="http://schemas.openxmlformats.org/drawingml/2006/chartDrawing">
    <cdr:from>
      <cdr:x>0.7997</cdr:x>
      <cdr:y>0.06659</cdr:y>
    </cdr:from>
    <cdr:to>
      <cdr:x>0.96493</cdr:x>
      <cdr:y>0.13182</cdr:y>
    </cdr:to>
    <cdr:sp macro="" textlink="">
      <cdr:nvSpPr>
        <cdr:cNvPr id="13" name="TextBox 2">
          <a:extLst xmlns:a="http://schemas.openxmlformats.org/drawingml/2006/main">
            <a:ext uri="{FF2B5EF4-FFF2-40B4-BE49-F238E27FC236}">
              <a16:creationId xmlns:a16="http://schemas.microsoft.com/office/drawing/2014/main" id="{270D47E2-C795-AD04-D623-E15E7C584D61}"/>
            </a:ext>
          </a:extLst>
        </cdr:cNvPr>
        <cdr:cNvSpPr txBox="1"/>
      </cdr:nvSpPr>
      <cdr:spPr>
        <a:xfrm xmlns:a="http://schemas.openxmlformats.org/drawingml/2006/main">
          <a:off x="6080934" y="301710"/>
          <a:ext cx="1256374" cy="295521"/>
        </a:xfrm>
        <a:prstGeom xmlns:a="http://schemas.openxmlformats.org/drawingml/2006/main" prst="rect">
          <a:avLst/>
        </a:prstGeom>
        <a:solidFill xmlns:a="http://schemas.openxmlformats.org/drawingml/2006/main">
          <a:schemeClr val="accent3">
            <a:lumMod val="40000"/>
            <a:lumOff val="60000"/>
          </a:schemeClr>
        </a:solidFill>
      </cdr:spPr>
      <cdr:txBody>
        <a:bodyPr xmlns:a="http://schemas.openxmlformats.org/drawingml/2006/main" vertOverflow="clip" wrap="square" rtlCol="0"/>
        <a:lstStyle xmlns:a="http://schemas.openxmlformats.org/drawingml/2006/main"/>
        <a:p xmlns:a="http://schemas.openxmlformats.org/drawingml/2006/main">
          <a:r>
            <a:rPr lang="en-IN" sz="1100" kern="1200"/>
            <a:t>Strategic Suppliers</a:t>
          </a:r>
        </a:p>
      </cdr:txBody>
    </cdr:sp>
  </cdr:relSizeAnchor>
  <cdr:relSizeAnchor xmlns:cdr="http://schemas.openxmlformats.org/drawingml/2006/chartDrawing">
    <cdr:from>
      <cdr:x>0.49069</cdr:x>
      <cdr:y>0.08928</cdr:y>
    </cdr:from>
    <cdr:to>
      <cdr:x>0.60901</cdr:x>
      <cdr:y>0.16123</cdr:y>
    </cdr:to>
    <cdr:sp macro="" textlink="">
      <cdr:nvSpPr>
        <cdr:cNvPr id="15" name="TextBox 24">
          <a:extLst xmlns:a="http://schemas.openxmlformats.org/drawingml/2006/main">
            <a:ext uri="{FF2B5EF4-FFF2-40B4-BE49-F238E27FC236}">
              <a16:creationId xmlns:a16="http://schemas.microsoft.com/office/drawing/2014/main" id="{BE565859-3A53-6DAA-C29B-F52E98E55A29}"/>
            </a:ext>
          </a:extLst>
        </cdr:cNvPr>
        <cdr:cNvSpPr txBox="1"/>
      </cdr:nvSpPr>
      <cdr:spPr>
        <a:xfrm xmlns:a="http://schemas.openxmlformats.org/drawingml/2006/main">
          <a:off x="3731200" y="404528"/>
          <a:ext cx="899731" cy="325972"/>
        </a:xfrm>
        <a:prstGeom xmlns:a="http://schemas.openxmlformats.org/drawingml/2006/main" prst="rect">
          <a:avLst/>
        </a:prstGeom>
        <a:solidFill xmlns:a="http://schemas.openxmlformats.org/drawingml/2006/main">
          <a:srgbClr val="FFC000"/>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a:t>Delivery Risk</a:t>
          </a:r>
        </a:p>
      </cdr:txBody>
    </cdr:sp>
  </cdr:relSizeAnchor>
  <cdr:relSizeAnchor xmlns:cdr="http://schemas.openxmlformats.org/drawingml/2006/chartDrawing">
    <cdr:from>
      <cdr:x>0.82212</cdr:x>
      <cdr:y>0.76941</cdr:y>
    </cdr:from>
    <cdr:to>
      <cdr:x>0.97161</cdr:x>
      <cdr:y>0.83462</cdr:y>
    </cdr:to>
    <cdr:sp macro="" textlink="">
      <cdr:nvSpPr>
        <cdr:cNvPr id="16" name="TextBox 24">
          <a:extLst xmlns:a="http://schemas.openxmlformats.org/drawingml/2006/main">
            <a:ext uri="{FF2B5EF4-FFF2-40B4-BE49-F238E27FC236}">
              <a16:creationId xmlns:a16="http://schemas.microsoft.com/office/drawing/2014/main" id="{BE565859-3A53-6DAA-C29B-F52E98E55A29}"/>
            </a:ext>
          </a:extLst>
        </cdr:cNvPr>
        <cdr:cNvSpPr txBox="1"/>
      </cdr:nvSpPr>
      <cdr:spPr>
        <a:xfrm xmlns:a="http://schemas.openxmlformats.org/drawingml/2006/main">
          <a:off x="6251445" y="3486063"/>
          <a:ext cx="1136663" cy="295447"/>
        </a:xfrm>
        <a:prstGeom xmlns:a="http://schemas.openxmlformats.org/drawingml/2006/main" prst="rect">
          <a:avLst/>
        </a:prstGeom>
        <a:solidFill xmlns:a="http://schemas.openxmlformats.org/drawingml/2006/main">
          <a:schemeClr val="accent2">
            <a:lumMod val="75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a:t>Critical</a:t>
          </a:r>
          <a:r>
            <a:rPr lang="en-IN" sz="1100" baseline="0"/>
            <a:t> Supplier</a:t>
          </a:r>
          <a:endParaRPr lang="en-IN" sz="1100"/>
        </a:p>
      </cdr:txBody>
    </cdr:sp>
  </cdr:relSizeAnchor>
  <cdr:relSizeAnchor xmlns:cdr="http://schemas.openxmlformats.org/drawingml/2006/chartDrawing">
    <cdr:from>
      <cdr:x>0.51153</cdr:x>
      <cdr:y>0.01614</cdr:y>
    </cdr:from>
    <cdr:to>
      <cdr:x>0.80303</cdr:x>
      <cdr:y>0.11144</cdr:y>
    </cdr:to>
    <cdr:sp macro="" textlink="">
      <cdr:nvSpPr>
        <cdr:cNvPr id="17" name="TextBox 16">
          <a:extLst xmlns:a="http://schemas.openxmlformats.org/drawingml/2006/main">
            <a:ext uri="{FF2B5EF4-FFF2-40B4-BE49-F238E27FC236}">
              <a16:creationId xmlns:a16="http://schemas.microsoft.com/office/drawing/2014/main" id="{FD3E4380-CE63-4A4A-D64B-73BC391100A0}"/>
            </a:ext>
          </a:extLst>
        </cdr:cNvPr>
        <cdr:cNvSpPr txBox="1"/>
      </cdr:nvSpPr>
      <cdr:spPr>
        <a:xfrm xmlns:a="http://schemas.openxmlformats.org/drawingml/2006/main">
          <a:off x="3889691" y="73110"/>
          <a:ext cx="2216579" cy="431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500" b="1" kern="1200">
              <a:solidFill>
                <a:schemeClr val="bg2"/>
              </a:solidFill>
              <a:latin typeface="+mn-lt"/>
              <a:ea typeface="Cambria" panose="02040503050406030204" pitchFamily="18" charset="0"/>
            </a:rPr>
            <a:t>Supplier Risk</a:t>
          </a:r>
          <a:r>
            <a:rPr lang="en-IN" sz="1500" b="1" kern="1200" baseline="0">
              <a:solidFill>
                <a:schemeClr val="bg2"/>
              </a:solidFill>
              <a:latin typeface="+mn-lt"/>
              <a:ea typeface="Cambria" panose="02040503050406030204" pitchFamily="18" charset="0"/>
            </a:rPr>
            <a:t> Analysis</a:t>
          </a:r>
          <a:endParaRPr lang="en-IN" sz="1500" b="1" kern="1200">
            <a:solidFill>
              <a:schemeClr val="bg2"/>
            </a:solidFill>
            <a:latin typeface="+mn-lt"/>
            <a:ea typeface="Cambria" panose="02040503050406030204" pitchFamily="18" charset="0"/>
          </a:endParaRPr>
        </a:p>
      </cdr:txBody>
    </cdr:sp>
  </cdr:relSizeAnchor>
  <cdr:relSizeAnchor xmlns:cdr="http://schemas.openxmlformats.org/drawingml/2006/chartDrawing">
    <cdr:from>
      <cdr:x>0.51931</cdr:x>
      <cdr:y>0.78285</cdr:y>
    </cdr:from>
    <cdr:to>
      <cdr:x>0.63763</cdr:x>
      <cdr:y>0.85479</cdr:y>
    </cdr:to>
    <cdr:sp macro="" textlink="">
      <cdr:nvSpPr>
        <cdr:cNvPr id="18" name="TextBox 24">
          <a:extLst xmlns:a="http://schemas.openxmlformats.org/drawingml/2006/main">
            <a:ext uri="{FF2B5EF4-FFF2-40B4-BE49-F238E27FC236}">
              <a16:creationId xmlns:a16="http://schemas.microsoft.com/office/drawing/2014/main" id="{83D5E4A7-B04A-92E2-59F4-BAC0238AFA62}"/>
            </a:ext>
          </a:extLst>
        </cdr:cNvPr>
        <cdr:cNvSpPr txBox="1"/>
      </cdr:nvSpPr>
      <cdr:spPr>
        <a:xfrm xmlns:a="http://schemas.openxmlformats.org/drawingml/2006/main">
          <a:off x="3948842" y="3546932"/>
          <a:ext cx="899731" cy="325971"/>
        </a:xfrm>
        <a:prstGeom xmlns:a="http://schemas.openxmlformats.org/drawingml/2006/main" prst="rect">
          <a:avLst/>
        </a:prstGeom>
        <a:solidFill xmlns:a="http://schemas.openxmlformats.org/drawingml/2006/main">
          <a:srgbClr val="FFC000"/>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a:t>Quality</a:t>
          </a:r>
          <a:r>
            <a:rPr lang="en-IN" sz="1100" baseline="0"/>
            <a:t> </a:t>
          </a:r>
          <a:r>
            <a:rPr lang="en-IN" sz="1100"/>
            <a:t>Risk</a:t>
          </a:r>
        </a:p>
      </cdr:txBody>
    </cdr:sp>
  </cdr:relSizeAnchor>
</c:userShapes>
</file>

<file path=xl/drawings/drawing4.xml><?xml version="1.0" encoding="utf-8"?>
<xdr:wsDr xmlns:xdr="http://schemas.openxmlformats.org/drawingml/2006/spreadsheetDrawing" xmlns:a="http://schemas.openxmlformats.org/drawingml/2006/main">
  <xdr:twoCellAnchor>
    <xdr:from>
      <xdr:col>7</xdr:col>
      <xdr:colOff>909</xdr:colOff>
      <xdr:row>20</xdr:row>
      <xdr:rowOff>22677</xdr:rowOff>
    </xdr:from>
    <xdr:to>
      <xdr:col>16</xdr:col>
      <xdr:colOff>299358</xdr:colOff>
      <xdr:row>34</xdr:row>
      <xdr:rowOff>145142</xdr:rowOff>
    </xdr:to>
    <xdr:graphicFrame macro="">
      <xdr:nvGraphicFramePr>
        <xdr:cNvPr id="3" name="Chart 2">
          <a:extLst>
            <a:ext uri="{FF2B5EF4-FFF2-40B4-BE49-F238E27FC236}">
              <a16:creationId xmlns:a16="http://schemas.microsoft.com/office/drawing/2014/main" id="{BBA708EC-04C0-5BD7-63E1-B6B2B5D4C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756556</xdr:colOff>
      <xdr:row>6</xdr:row>
      <xdr:rowOff>76199</xdr:rowOff>
    </xdr:from>
    <xdr:to>
      <xdr:col>15</xdr:col>
      <xdr:colOff>134710</xdr:colOff>
      <xdr:row>19</xdr:row>
      <xdr:rowOff>47170</xdr:rowOff>
    </xdr:to>
    <xdr:graphicFrame macro="">
      <xdr:nvGraphicFramePr>
        <xdr:cNvPr id="4" name="Chart 3">
          <a:extLst>
            <a:ext uri="{FF2B5EF4-FFF2-40B4-BE49-F238E27FC236}">
              <a16:creationId xmlns:a16="http://schemas.microsoft.com/office/drawing/2014/main" id="{4C11C408-8673-6740-48CB-8D6FC268D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481693</xdr:colOff>
      <xdr:row>6</xdr:row>
      <xdr:rowOff>91621</xdr:rowOff>
    </xdr:from>
    <xdr:to>
      <xdr:col>6</xdr:col>
      <xdr:colOff>725714</xdr:colOff>
      <xdr:row>19</xdr:row>
      <xdr:rowOff>108857</xdr:rowOff>
    </xdr:to>
    <xdr:graphicFrame macro="">
      <xdr:nvGraphicFramePr>
        <xdr:cNvPr id="5" name="Chart 4">
          <a:extLst>
            <a:ext uri="{FF2B5EF4-FFF2-40B4-BE49-F238E27FC236}">
              <a16:creationId xmlns:a16="http://schemas.microsoft.com/office/drawing/2014/main" id="{F1E6E0A0-7E7C-6F00-04CB-D130EC937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459467</xdr:colOff>
      <xdr:row>19</xdr:row>
      <xdr:rowOff>158750</xdr:rowOff>
    </xdr:from>
    <xdr:to>
      <xdr:col>6</xdr:col>
      <xdr:colOff>752927</xdr:colOff>
      <xdr:row>34</xdr:row>
      <xdr:rowOff>136072</xdr:rowOff>
    </xdr:to>
    <xdr:graphicFrame macro="">
      <xdr:nvGraphicFramePr>
        <xdr:cNvPr id="6" name="Chart 5">
          <a:extLst>
            <a:ext uri="{FF2B5EF4-FFF2-40B4-BE49-F238E27FC236}">
              <a16:creationId xmlns:a16="http://schemas.microsoft.com/office/drawing/2014/main" id="{F3F470CE-D8A3-D5CE-3F3A-C480A918C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426810</xdr:colOff>
      <xdr:row>35</xdr:row>
      <xdr:rowOff>82550</xdr:rowOff>
    </xdr:from>
    <xdr:to>
      <xdr:col>7</xdr:col>
      <xdr:colOff>181881</xdr:colOff>
      <xdr:row>50</xdr:row>
      <xdr:rowOff>104322</xdr:rowOff>
    </xdr:to>
    <xdr:graphicFrame macro="">
      <xdr:nvGraphicFramePr>
        <xdr:cNvPr id="7" name="Chart 6">
          <a:extLst>
            <a:ext uri="{FF2B5EF4-FFF2-40B4-BE49-F238E27FC236}">
              <a16:creationId xmlns:a16="http://schemas.microsoft.com/office/drawing/2014/main" id="{11643C13-B6C3-7AC2-8D5C-28109E9A7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79830</xdr:colOff>
      <xdr:row>6</xdr:row>
      <xdr:rowOff>134258</xdr:rowOff>
    </xdr:from>
    <xdr:to>
      <xdr:col>18</xdr:col>
      <xdr:colOff>402772</xdr:colOff>
      <xdr:row>21</xdr:row>
      <xdr:rowOff>32201</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F0B91274-A364-4FAC-92C7-B8D0DB8ADAC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331123" y="1929775"/>
              <a:ext cx="1833804" cy="2689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489858</xdr:colOff>
      <xdr:row>21</xdr:row>
      <xdr:rowOff>136071</xdr:rowOff>
    </xdr:from>
    <xdr:to>
      <xdr:col>19</xdr:col>
      <xdr:colOff>205015</xdr:colOff>
      <xdr:row>37</xdr:row>
      <xdr:rowOff>114523</xdr:rowOff>
    </xdr:to>
    <mc:AlternateContent xmlns:mc="http://schemas.openxmlformats.org/markup-compatibility/2006" xmlns:a14="http://schemas.microsoft.com/office/drawing/2010/main">
      <mc:Choice Requires="a14">
        <xdr:graphicFrame macro="">
          <xdr:nvGraphicFramePr>
            <xdr:cNvPr id="10" name="Vendor Name 1">
              <a:extLst>
                <a:ext uri="{FF2B5EF4-FFF2-40B4-BE49-F238E27FC236}">
                  <a16:creationId xmlns:a16="http://schemas.microsoft.com/office/drawing/2014/main" id="{790D4320-908E-4767-A6FF-C6846AA459F8}"/>
                </a:ext>
              </a:extLst>
            </xdr:cNvPr>
            <xdr:cNvGraphicFramePr/>
          </xdr:nvGraphicFramePr>
          <xdr:xfrm>
            <a:off x="0" y="0"/>
            <a:ext cx="0" cy="0"/>
          </xdr:xfrm>
          <a:graphic>
            <a:graphicData uri="http://schemas.microsoft.com/office/drawing/2010/slicer">
              <sle:slicer xmlns:sle="http://schemas.microsoft.com/office/drawing/2010/slicer" name="Vendor Name 1"/>
            </a:graphicData>
          </a:graphic>
        </xdr:graphicFrame>
      </mc:Choice>
      <mc:Fallback xmlns="">
        <xdr:sp macro="" textlink="">
          <xdr:nvSpPr>
            <xdr:cNvPr id="0" name=""/>
            <xdr:cNvSpPr>
              <a:spLocks noTextEdit="1"/>
            </xdr:cNvSpPr>
          </xdr:nvSpPr>
          <xdr:spPr>
            <a:xfrm>
              <a:off x="9741151" y="4723399"/>
              <a:ext cx="1839123" cy="2956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54429</xdr:colOff>
      <xdr:row>1</xdr:row>
      <xdr:rowOff>199571</xdr:rowOff>
    </xdr:from>
    <xdr:to>
      <xdr:col>27</xdr:col>
      <xdr:colOff>145143</xdr:colOff>
      <xdr:row>13</xdr:row>
      <xdr:rowOff>63500</xdr:rowOff>
    </xdr:to>
    <xdr:sp macro="" textlink="">
      <xdr:nvSpPr>
        <xdr:cNvPr id="11" name="TextBox 10">
          <a:extLst>
            <a:ext uri="{FF2B5EF4-FFF2-40B4-BE49-F238E27FC236}">
              <a16:creationId xmlns:a16="http://schemas.microsoft.com/office/drawing/2014/main" id="{066C044B-3934-AFD7-979D-C277DDD019F5}"/>
            </a:ext>
          </a:extLst>
        </xdr:cNvPr>
        <xdr:cNvSpPr txBox="1"/>
      </xdr:nvSpPr>
      <xdr:spPr>
        <a:xfrm>
          <a:off x="11384643" y="381000"/>
          <a:ext cx="4953000" cy="2775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latin typeface="Cambria" panose="02040503050406030204" pitchFamily="18" charset="0"/>
              <a:ea typeface="Cambria" panose="02040503050406030204" pitchFamily="18" charset="0"/>
            </a:rPr>
            <a:t>Key Insights</a:t>
          </a:r>
        </a:p>
        <a:p>
          <a:endParaRPr lang="en-IN" sz="1500">
            <a:latin typeface="Cambria" panose="02040503050406030204" pitchFamily="18" charset="0"/>
            <a:ea typeface="Cambria" panose="02040503050406030204" pitchFamily="18" charset="0"/>
          </a:endParaRPr>
        </a:p>
        <a:p>
          <a:r>
            <a:rPr lang="en-IN" sz="1500">
              <a:latin typeface="Cambria" panose="02040503050406030204" pitchFamily="18" charset="0"/>
              <a:ea typeface="Cambria" panose="02040503050406030204" pitchFamily="18" charset="0"/>
            </a:rPr>
            <a:t>• Vertex Solutions is the highest-performing supplier with an overall Vendor Score of 89% and OTD of 98%.</a:t>
          </a:r>
        </a:p>
        <a:p>
          <a:r>
            <a:rPr lang="en-IN" sz="1500">
              <a:latin typeface="Cambria" panose="02040503050406030204" pitchFamily="18" charset="0"/>
              <a:ea typeface="Cambria" panose="02040503050406030204" pitchFamily="18" charset="0"/>
            </a:rPr>
            <a:t>• Omega Industries recorded the highest number of late deliveries (17) and the highest defect quantity, indicating supplier performance risk.</a:t>
          </a:r>
        </a:p>
        <a:p>
          <a:r>
            <a:rPr lang="en-IN" sz="1500">
              <a:latin typeface="Cambria" panose="02040503050406030204" pitchFamily="18" charset="0"/>
              <a:ea typeface="Cambria" panose="02040503050406030204" pitchFamily="18" charset="0"/>
            </a:rPr>
            <a:t>• Average supplier OTD stands at 88%, reflecting generally strong delivery performance.</a:t>
          </a:r>
        </a:p>
        <a:p>
          <a:r>
            <a:rPr lang="en-IN" sz="1500">
              <a:latin typeface="Cambria" panose="02040503050406030204" pitchFamily="18" charset="0"/>
              <a:ea typeface="Cambria" panose="02040503050406030204" pitchFamily="18" charset="0"/>
            </a:rPr>
            <a:t>• Total procurement spend reached ₹15.31 Crore across 10 suppliers.</a:t>
          </a:r>
        </a:p>
        <a:p>
          <a:endParaRPr lang="en-IN" sz="1500">
            <a:latin typeface="Cambria" panose="02040503050406030204" pitchFamily="18" charset="0"/>
            <a:ea typeface="Cambria" panose="02040503050406030204" pitchFamily="18" charset="0"/>
          </a:endParaRP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ga parthasarathi" refreshedDate="46280.036229745368" createdVersion="8" refreshedVersion="8" minRefreshableVersion="3" recordCount="500" xr:uid="{5275C1C3-10EB-4651-A768-83A48692623A}">
  <cacheSource type="worksheet">
    <worksheetSource name="Table1"/>
  </cacheSource>
  <cacheFields count="21">
    <cacheField name="PO Number" numFmtId="0">
      <sharedItems/>
    </cacheField>
    <cacheField name="Vendor ID" numFmtId="0">
      <sharedItems/>
    </cacheField>
    <cacheField name="Vendor Name" numFmtId="0">
      <sharedItems count="10">
        <s v="Vertex Solutions"/>
        <s v="Delta Supplies"/>
        <s v="Alpha Electronics"/>
        <s v="Epsilon Systems"/>
        <s v="Prime Circuits"/>
        <s v="Nexus Parts"/>
        <s v="Gamma Technologies"/>
        <s v="Zenith Manufacturing"/>
        <s v="Beta Components"/>
        <s v="Omega Industries"/>
      </sharedItems>
    </cacheField>
    <cacheField name="Category" numFmtId="0">
      <sharedItems/>
    </cacheField>
    <cacheField name="Month" numFmtId="0">
      <sharedItems count="12">
        <s v="Dec"/>
        <s v="Jul"/>
        <s v="May"/>
        <s v="Jan"/>
        <s v="Nov"/>
        <s v="Apr"/>
        <s v="Jun"/>
        <s v="Oct"/>
        <s v="Sep"/>
        <s v="Aug"/>
        <s v="Feb"/>
        <s v="Mar"/>
      </sharedItems>
    </cacheField>
    <cacheField name="Order Qty" numFmtId="0">
      <sharedItems containsSemiMixedTypes="0" containsString="0" containsNumber="1" containsInteger="1" minValue="207" maxValue="4978"/>
    </cacheField>
    <cacheField name="Received Qty" numFmtId="0">
      <sharedItems containsSemiMixedTypes="0" containsString="0" containsNumber="1" containsInteger="1" minValue="203" maxValue="4850"/>
    </cacheField>
    <cacheField name="Planned Date" numFmtId="164">
      <sharedItems containsSemiMixedTypes="0" containsNonDate="0" containsDate="1" containsString="0" minDate="2026-01-03T00:00:00" maxDate="2027-01-01T00:00:00"/>
    </cacheField>
    <cacheField name="Actual Receipt Date" numFmtId="164">
      <sharedItems containsSemiMixedTypes="0" containsNonDate="0" containsDate="1" containsString="0" minDate="2026-01-02T00:00:00" maxDate="2027-01-08T00:00:00"/>
    </cacheField>
    <cacheField name="Defect Qty" numFmtId="0">
      <sharedItems containsSemiMixedTypes="0" containsString="0" containsNumber="1" containsInteger="1" minValue="4" maxValue="587"/>
    </cacheField>
    <cacheField name="Unit Price" numFmtId="0">
      <sharedItems containsSemiMixedTypes="0" containsString="0" containsNumber="1" containsInteger="1" minValue="5" maxValue="250"/>
    </cacheField>
    <cacheField name="Delivery Delay" numFmtId="0">
      <sharedItems containsSemiMixedTypes="0" containsString="0" containsNumber="1" containsInteger="1" minValue="-2" maxValue="10"/>
    </cacheField>
    <cacheField name="OTD" numFmtId="9">
      <sharedItems containsSemiMixedTypes="0" containsString="0" containsNumber="1" containsInteger="1" minValue="0" maxValue="1"/>
    </cacheField>
    <cacheField name="Fill Rate" numFmtId="9">
      <sharedItems containsSemiMixedTypes="0" containsString="0" containsNumber="1" minValue="0.92" maxValue="1"/>
    </cacheField>
    <cacheField name="Quality Rate" numFmtId="9">
      <sharedItems containsSemiMixedTypes="0" containsString="0" containsNumber="1" minValue="0.87444933920704848" maxValue="0.9899292907649454"/>
    </cacheField>
    <cacheField name="Order Value" numFmtId="0">
      <sharedItems containsSemiMixedTypes="0" containsString="0" containsNumber="1" containsInteger="1" minValue="1910" maxValue="1161684"/>
    </cacheField>
    <cacheField name="Cost Score" numFmtId="9">
      <sharedItems containsSemiMixedTypes="0" containsString="0" containsNumber="1" minValue="0.02" maxValue="1"/>
    </cacheField>
    <cacheField name="OTD in Values" numFmtId="0">
      <sharedItems containsSemiMixedTypes="0" containsString="0" containsNumber="1" containsInteger="1" minValue="0" maxValue="1"/>
    </cacheField>
    <cacheField name="Vendor Score" numFmtId="9">
      <sharedItems containsSemiMixedTypes="0" containsString="0" containsNumber="1" minValue="0.45169788113892473" maxValue="0.96744810126582281"/>
    </cacheField>
    <cacheField name="Column1" numFmtId="0">
      <sharedItems containsSemiMixedTypes="0" containsString="0" containsNumber="1" containsInteger="1" minValue="1" maxValue="1"/>
    </cacheField>
    <cacheField name="Status" numFmtId="0">
      <sharedItems/>
    </cacheField>
  </cacheFields>
  <extLst>
    <ext xmlns:x14="http://schemas.microsoft.com/office/spreadsheetml/2009/9/main" uri="{725AE2AE-9491-48be-B2B4-4EB974FC3084}">
      <x14:pivotCacheDefinition pivotCacheId="89049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O1457"/>
    <s v="V010"/>
    <x v="0"/>
    <s v="IC"/>
    <x v="0"/>
    <n v="750"/>
    <n v="711"/>
    <d v="2026-12-24T00:00:00"/>
    <d v="2026-12-22T00:00:00"/>
    <n v="13"/>
    <n v="6"/>
    <n v="-2"/>
    <n v="1"/>
    <n v="0.94799999999999995"/>
    <n v="0.98171589310829821"/>
    <n v="4266"/>
    <n v="0.83333333333333337"/>
    <n v="0"/>
    <n v="0.96744810126582281"/>
    <n v="1"/>
    <s v="Excellent"/>
  </r>
  <r>
    <s v="PO1476"/>
    <s v="V004"/>
    <x v="1"/>
    <s v="Capacitor"/>
    <x v="1"/>
    <n v="389"/>
    <n v="382"/>
    <d v="2026-07-12T00:00:00"/>
    <d v="2026-07-12T00:00:00"/>
    <n v="38"/>
    <n v="5"/>
    <n v="0"/>
    <n v="1"/>
    <n v="0.98200514138817485"/>
    <n v="0.90052356020942403"/>
    <n v="1910"/>
    <n v="1"/>
    <n v="0"/>
    <n v="0.96655809634046219"/>
    <n v="1"/>
    <s v="Excellent"/>
  </r>
  <r>
    <s v="PO1238"/>
    <s v="V001"/>
    <x v="2"/>
    <s v="Capacitor"/>
    <x v="2"/>
    <n v="3055"/>
    <n v="2979"/>
    <d v="2026-05-20T00:00:00"/>
    <d v="2026-05-19T00:00:00"/>
    <n v="35"/>
    <n v="7"/>
    <n v="-1"/>
    <n v="1"/>
    <n v="0.97512274959083467"/>
    <n v="0.9882510909701242"/>
    <n v="20853"/>
    <n v="0.7142857142857143"/>
    <n v="0"/>
    <n v="0.96292844863777571"/>
    <n v="1"/>
    <s v="Excellent"/>
  </r>
  <r>
    <s v="PO1196"/>
    <s v="V005"/>
    <x v="3"/>
    <s v="Connector"/>
    <x v="3"/>
    <n v="1614"/>
    <n v="1546"/>
    <d v="2026-01-10T00:00:00"/>
    <d v="2026-01-09T00:00:00"/>
    <n v="31"/>
    <n v="7"/>
    <n v="-1"/>
    <n v="1"/>
    <n v="0.95786864931846349"/>
    <n v="0.97994825355756787"/>
    <n v="10822"/>
    <n v="0.7142857142857143"/>
    <n v="0"/>
    <n v="0.95698677735953452"/>
    <n v="1"/>
    <s v="Excellent"/>
  </r>
  <r>
    <s v="PO1208"/>
    <s v="V008"/>
    <x v="4"/>
    <s v="Capacitor"/>
    <x v="0"/>
    <n v="2083"/>
    <n v="1935"/>
    <d v="2026-12-07T00:00:00"/>
    <d v="2026-12-07T00:00:00"/>
    <n v="97"/>
    <n v="6"/>
    <n v="0"/>
    <n v="1"/>
    <n v="0.928948631781085"/>
    <n v="0.94987080103359178"/>
    <n v="11610"/>
    <n v="0.83333333333333337"/>
    <n v="0"/>
    <n v="0.95408429999962796"/>
    <n v="1"/>
    <s v="Excellent"/>
  </r>
  <r>
    <s v="PO1311"/>
    <s v="V008"/>
    <x v="4"/>
    <s v="PCB"/>
    <x v="1"/>
    <n v="4105"/>
    <n v="3781"/>
    <d v="2026-07-31T00:00:00"/>
    <d v="2026-07-30T00:00:00"/>
    <n v="192"/>
    <n v="6"/>
    <n v="-1"/>
    <n v="1"/>
    <n v="0.9210718635809988"/>
    <n v="0.94921978312615707"/>
    <n v="22686"/>
    <n v="0.83333333333333337"/>
    <n v="0"/>
    <n v="0.95231364098738036"/>
    <n v="1"/>
    <s v="Excellent"/>
  </r>
  <r>
    <s v="PO1261"/>
    <s v="V001"/>
    <x v="2"/>
    <s v="PCB"/>
    <x v="2"/>
    <n v="1084"/>
    <n v="1070"/>
    <d v="2026-05-06T00:00:00"/>
    <d v="2026-05-06T00:00:00"/>
    <n v="16"/>
    <n v="9"/>
    <n v="0"/>
    <n v="1"/>
    <n v="0.98708487084870844"/>
    <n v="0.98504672897196266"/>
    <n v="9630"/>
    <n v="0.55555555555555558"/>
    <n v="0"/>
    <n v="0.94848654841688607"/>
    <n v="1"/>
    <s v="Excellent"/>
  </r>
  <r>
    <s v="PO1242"/>
    <s v="V004"/>
    <x v="1"/>
    <s v="Connector"/>
    <x v="1"/>
    <n v="3752"/>
    <n v="3559"/>
    <d v="2026-07-14T00:00:00"/>
    <d v="2026-07-14T00:00:00"/>
    <n v="322"/>
    <n v="6"/>
    <n v="0"/>
    <n v="1"/>
    <n v="0.94856076759061836"/>
    <n v="0.90952514751334645"/>
    <n v="21354"/>
    <n v="0.83333333333333337"/>
    <n v="0"/>
    <n v="0.94590303110546092"/>
    <n v="1"/>
    <s v="Excellent"/>
  </r>
  <r>
    <s v="PO1253"/>
    <s v="V010"/>
    <x v="0"/>
    <s v="Connector"/>
    <x v="3"/>
    <n v="1429"/>
    <n v="1374"/>
    <d v="2026-01-05T00:00:00"/>
    <d v="2026-01-04T00:00:00"/>
    <n v="18"/>
    <n v="9"/>
    <n v="-1"/>
    <n v="1"/>
    <n v="0.96151154653603921"/>
    <n v="0.98689956331877726"/>
    <n v="12366"/>
    <n v="0.55555555555555558"/>
    <n v="0"/>
    <n v="0.94392773385839657"/>
    <n v="1"/>
    <s v="Excellent"/>
  </r>
  <r>
    <s v="PO1314"/>
    <s v="V001"/>
    <x v="2"/>
    <s v="Connector"/>
    <x v="2"/>
    <n v="1048"/>
    <n v="1030"/>
    <d v="2026-05-20T00:00:00"/>
    <d v="2026-05-20T00:00:00"/>
    <n v="11"/>
    <n v="10"/>
    <n v="0"/>
    <n v="1"/>
    <n v="0.98282442748091603"/>
    <n v="0.98932038834951452"/>
    <n v="10300"/>
    <n v="0.5"/>
    <n v="0"/>
    <n v="0.94336100200103767"/>
    <n v="1"/>
    <s v="Excellent"/>
  </r>
  <r>
    <s v="PO1266"/>
    <s v="V007"/>
    <x v="5"/>
    <s v="IC"/>
    <x v="0"/>
    <n v="3636"/>
    <n v="3424"/>
    <d v="2026-12-02T00:00:00"/>
    <d v="2026-12-01T00:00:00"/>
    <n v="137"/>
    <n v="8"/>
    <n v="-1"/>
    <n v="1"/>
    <n v="0.94169416941694173"/>
    <n v="0.95998831775700932"/>
    <n v="27392"/>
    <n v="0.625"/>
    <n v="0"/>
    <n v="0.93883532921049118"/>
    <n v="1"/>
    <s v="Excellent"/>
  </r>
  <r>
    <s v="PO1220"/>
    <s v="V008"/>
    <x v="4"/>
    <s v="IC"/>
    <x v="3"/>
    <n v="4317"/>
    <n v="4089"/>
    <d v="2026-01-15T00:00:00"/>
    <d v="2026-01-15T00:00:00"/>
    <n v="207"/>
    <n v="9"/>
    <n v="0"/>
    <n v="1"/>
    <n v="0.94718554551772061"/>
    <n v="0.9493763756419662"/>
    <n v="36801"/>
    <n v="0.55555555555555558"/>
    <n v="0"/>
    <n v="0.92980557735168967"/>
    <n v="1"/>
    <s v="Excellent"/>
  </r>
  <r>
    <s v="PO1243"/>
    <s v="V007"/>
    <x v="5"/>
    <s v="Capacitor"/>
    <x v="4"/>
    <n v="4362"/>
    <n v="4084"/>
    <d v="2026-11-25T00:00:00"/>
    <d v="2026-11-25T00:00:00"/>
    <n v="166"/>
    <n v="10"/>
    <n v="0"/>
    <n v="1"/>
    <n v="0.93626776707932147"/>
    <n v="0.95935357492654261"/>
    <n v="40840"/>
    <n v="0.5"/>
    <n v="0"/>
    <n v="0.92505962589382706"/>
    <n v="1"/>
    <s v="Excellent"/>
  </r>
  <r>
    <s v="PO1202"/>
    <s v="V003"/>
    <x v="6"/>
    <s v="PCB"/>
    <x v="5"/>
    <n v="805"/>
    <n v="772"/>
    <d v="2026-04-01T00:00:00"/>
    <d v="2026-04-01T00:00:00"/>
    <n v="51"/>
    <n v="10"/>
    <n v="0"/>
    <n v="1"/>
    <n v="0.95900621118012419"/>
    <n v="0.93393782383419688"/>
    <n v="7720"/>
    <n v="0.5"/>
    <n v="0"/>
    <n v="0.92198258938628408"/>
    <n v="1"/>
    <s v="Excellent"/>
  </r>
  <r>
    <s v="PO1221"/>
    <s v="V003"/>
    <x v="6"/>
    <s v="IC"/>
    <x v="6"/>
    <n v="4870"/>
    <n v="4655"/>
    <d v="2026-06-10T00:00:00"/>
    <d v="2026-06-08T00:00:00"/>
    <n v="281"/>
    <n v="11"/>
    <n v="-2"/>
    <n v="1"/>
    <n v="0.95585215605749485"/>
    <n v="0.93963480128893662"/>
    <n v="51205"/>
    <n v="0.45454545454545453"/>
    <n v="0"/>
    <n v="0.91851541705272544"/>
    <n v="1"/>
    <s v="Excellent"/>
  </r>
  <r>
    <s v="PO1222"/>
    <s v="V010"/>
    <x v="0"/>
    <s v="PCB"/>
    <x v="7"/>
    <n v="2011"/>
    <n v="2006"/>
    <d v="2026-10-14T00:00:00"/>
    <d v="2026-10-12T00:00:00"/>
    <n v="25"/>
    <n v="22"/>
    <n v="-2"/>
    <n v="1"/>
    <n v="0.99751367478866237"/>
    <n v="0.98753738783649048"/>
    <n v="44132"/>
    <n v="0.22727272727272727"/>
    <n v="0"/>
    <n v="0.9184912240359524"/>
    <n v="1"/>
    <s v="Excellent"/>
  </r>
  <r>
    <s v="PO1133"/>
    <s v="V004"/>
    <x v="1"/>
    <s v="IC"/>
    <x v="8"/>
    <n v="795"/>
    <n v="777"/>
    <d v="2026-09-11T00:00:00"/>
    <d v="2026-09-09T00:00:00"/>
    <n v="73"/>
    <n v="10"/>
    <n v="-2"/>
    <n v="1"/>
    <n v="0.97735849056603774"/>
    <n v="0.90604890604890609"/>
    <n v="7770"/>
    <n v="0.5"/>
    <n v="0"/>
    <n v="0.91728636992787937"/>
    <n v="1"/>
    <s v="Excellent"/>
  </r>
  <r>
    <s v="PO1232"/>
    <s v="V009"/>
    <x v="7"/>
    <s v="Capacitor"/>
    <x v="1"/>
    <n v="4712"/>
    <n v="4710"/>
    <d v="2026-07-10T00:00:00"/>
    <d v="2026-07-10T00:00:00"/>
    <n v="335"/>
    <n v="13"/>
    <n v="0"/>
    <n v="1"/>
    <n v="0.99957555178268254"/>
    <n v="0.9288747346072187"/>
    <n v="61230"/>
    <n v="0.38461538461538464"/>
    <n v="0"/>
    <n v="0.91703906920024059"/>
    <n v="1"/>
    <s v="Excellent"/>
  </r>
  <r>
    <s v="PO1020"/>
    <s v="V010"/>
    <x v="0"/>
    <s v="IC"/>
    <x v="4"/>
    <n v="2040"/>
    <n v="1970"/>
    <d v="2026-11-16T00:00:00"/>
    <d v="2026-11-15T00:00:00"/>
    <n v="22"/>
    <n v="19"/>
    <n v="-1"/>
    <n v="1"/>
    <n v="0.96568627450980393"/>
    <n v="0.98883248730964468"/>
    <n v="37430"/>
    <n v="0.26315789473684209"/>
    <n v="0"/>
    <n v="0.91610279056853838"/>
    <n v="1"/>
    <s v="Excellent"/>
  </r>
  <r>
    <s v="PO1186"/>
    <s v="V005"/>
    <x v="3"/>
    <s v="IC"/>
    <x v="9"/>
    <n v="382"/>
    <n v="373"/>
    <d v="2026-08-30T00:00:00"/>
    <d v="2026-08-30T00:00:00"/>
    <n v="9"/>
    <n v="18"/>
    <n v="0"/>
    <n v="1"/>
    <n v="0.97643979057591623"/>
    <n v="0.97587131367292224"/>
    <n v="6714"/>
    <n v="0.27777777777777779"/>
    <n v="0"/>
    <n v="0.91582712999483773"/>
    <n v="1"/>
    <s v="Excellent"/>
  </r>
  <r>
    <s v="PO1297"/>
    <s v="V001"/>
    <x v="2"/>
    <s v="PCB"/>
    <x v="3"/>
    <n v="4028"/>
    <n v="3905"/>
    <d v="2026-01-16T00:00:00"/>
    <d v="2026-01-16T00:00:00"/>
    <n v="41"/>
    <n v="20"/>
    <n v="0"/>
    <n v="1"/>
    <n v="0.96946375372393245"/>
    <n v="0.98950064020486561"/>
    <n v="78100"/>
    <n v="0.25"/>
    <n v="0"/>
    <n v="0.91574294280624624"/>
    <n v="1"/>
    <s v="Excellent"/>
  </r>
  <r>
    <s v="PO1363"/>
    <s v="V001"/>
    <x v="2"/>
    <s v="IC"/>
    <x v="2"/>
    <n v="1173"/>
    <n v="1161"/>
    <d v="2026-05-11T00:00:00"/>
    <d v="2026-05-09T00:00:00"/>
    <n v="15"/>
    <n v="25"/>
    <n v="-2"/>
    <n v="1"/>
    <n v="0.98976982097186705"/>
    <n v="0.98708010335917318"/>
    <n v="29025"/>
    <n v="0.2"/>
    <n v="0"/>
    <n v="0.91407799520212529"/>
    <n v="1"/>
    <s v="Excellent"/>
  </r>
  <r>
    <s v="PO1286"/>
    <s v="V005"/>
    <x v="3"/>
    <s v="IC"/>
    <x v="1"/>
    <n v="3222"/>
    <n v="3209"/>
    <d v="2026-07-23T00:00:00"/>
    <d v="2026-07-23T00:00:00"/>
    <n v="65"/>
    <n v="29"/>
    <n v="0"/>
    <n v="1"/>
    <n v="0.99596523898199874"/>
    <n v="0.97974446868183229"/>
    <n v="93061"/>
    <n v="0.17241379310344829"/>
    <n v="0"/>
    <n v="0.9103577677112944"/>
    <n v="1"/>
    <s v="Excellent"/>
  </r>
  <r>
    <s v="PO1303"/>
    <s v="V002"/>
    <x v="8"/>
    <s v="Connector"/>
    <x v="10"/>
    <n v="3964"/>
    <n v="3913"/>
    <d v="2026-02-06T00:00:00"/>
    <d v="2026-02-04T00:00:00"/>
    <n v="123"/>
    <n v="27"/>
    <n v="-2"/>
    <n v="1"/>
    <n v="0.9871342078708375"/>
    <n v="0.96856631740352672"/>
    <n v="105651"/>
    <n v="0.18518518518518517"/>
    <n v="0"/>
    <n v="0.906515255313744"/>
    <n v="1"/>
    <s v="Excellent"/>
  </r>
  <r>
    <s v="PO1282"/>
    <s v="V001"/>
    <x v="2"/>
    <s v="IC"/>
    <x v="3"/>
    <n v="2330"/>
    <n v="2322"/>
    <d v="2026-01-19T00:00:00"/>
    <d v="2026-01-17T00:00:00"/>
    <n v="27"/>
    <n v="47"/>
    <n v="-2"/>
    <n v="1"/>
    <n v="0.99656652360515019"/>
    <n v="0.98837209302325579"/>
    <n v="109134"/>
    <n v="0.10638297872340426"/>
    <n v="0"/>
    <n v="0.90646323050034716"/>
    <n v="1"/>
    <s v="Excellent"/>
  </r>
  <r>
    <s v="PO1124"/>
    <s v="V010"/>
    <x v="0"/>
    <s v="Capacitor"/>
    <x v="7"/>
    <n v="875"/>
    <n v="865"/>
    <d v="2026-10-14T00:00:00"/>
    <d v="2026-10-13T00:00:00"/>
    <n v="10"/>
    <n v="49"/>
    <n v="-1"/>
    <n v="1"/>
    <n v="0.98857142857142855"/>
    <n v="0.98843930635838151"/>
    <n v="42385"/>
    <n v="0.10204081632653061"/>
    <n v="0"/>
    <n v="0.90445015925445327"/>
    <n v="1"/>
    <s v="Excellent"/>
  </r>
  <r>
    <s v="PO1249"/>
    <s v="V005"/>
    <x v="3"/>
    <s v="IC"/>
    <x v="11"/>
    <n v="2014"/>
    <n v="1881"/>
    <d v="2026-03-07T00:00:00"/>
    <d v="2026-03-05T00:00:00"/>
    <n v="39"/>
    <n v="21"/>
    <n v="-2"/>
    <n v="1"/>
    <n v="0.93396226415094341"/>
    <n v="0.97926634768740028"/>
    <n v="39501"/>
    <n v="0.23809523809523808"/>
    <n v="0"/>
    <n v="0.90438188094593264"/>
    <n v="1"/>
    <s v="Excellent"/>
  </r>
  <r>
    <s v="PO1158"/>
    <s v="V006"/>
    <x v="9"/>
    <s v="Connector"/>
    <x v="2"/>
    <n v="1635"/>
    <n v="1624"/>
    <d v="2026-05-30T00:00:00"/>
    <d v="2026-05-30T00:00:00"/>
    <n v="195"/>
    <n v="12"/>
    <n v="0"/>
    <n v="1"/>
    <n v="0.99327217125382261"/>
    <n v="0.87992610837438423"/>
    <n v="19488"/>
    <n v="0.41666666666666669"/>
    <n v="0"/>
    <n v="0.90429893342974654"/>
    <n v="1"/>
    <s v="Excellent"/>
  </r>
  <r>
    <s v="PO1251"/>
    <s v="V001"/>
    <x v="2"/>
    <s v="PCB"/>
    <x v="10"/>
    <n v="4080"/>
    <n v="3891"/>
    <d v="2026-02-19T00:00:00"/>
    <d v="2026-02-17T00:00:00"/>
    <n v="41"/>
    <n v="31"/>
    <n v="-2"/>
    <n v="1"/>
    <n v="0.95367647058823535"/>
    <n v="0.9894628630172192"/>
    <n v="120621"/>
    <n v="0.16129032258064516"/>
    <n v="0"/>
    <n v="0.90370318528087734"/>
    <n v="1"/>
    <s v="Excellent"/>
  </r>
  <r>
    <s v="PO1433"/>
    <s v="V005"/>
    <x v="3"/>
    <s v="PCB"/>
    <x v="7"/>
    <n v="2987"/>
    <n v="2935"/>
    <d v="2026-10-11T00:00:00"/>
    <d v="2026-10-10T00:00:00"/>
    <n v="59"/>
    <n v="38"/>
    <n v="-1"/>
    <n v="1"/>
    <n v="0.98259122865751591"/>
    <n v="0.97989778534923344"/>
    <n v="111530"/>
    <n v="0.13157894736842105"/>
    <n v="0"/>
    <n v="0.90364547607311541"/>
    <n v="1"/>
    <s v="Excellent"/>
  </r>
  <r>
    <s v="PO1441"/>
    <s v="V001"/>
    <x v="2"/>
    <s v="Connector"/>
    <x v="4"/>
    <n v="1304"/>
    <n v="1208"/>
    <d v="2026-11-08T00:00:00"/>
    <d v="2026-11-06T00:00:00"/>
    <n v="18"/>
    <n v="22"/>
    <n v="-2"/>
    <n v="1"/>
    <n v="0.92638036809815949"/>
    <n v="0.98509933774834435"/>
    <n v="26576"/>
    <n v="0.22727272727272727"/>
    <n v="0"/>
    <n v="0.90353314767140791"/>
    <n v="1"/>
    <s v="Excellent"/>
  </r>
  <r>
    <s v="PO1296"/>
    <s v="V010"/>
    <x v="0"/>
    <s v="Connector"/>
    <x v="9"/>
    <n v="1267"/>
    <n v="1257"/>
    <d v="2026-08-20T00:00:00"/>
    <d v="2026-08-20T00:00:00"/>
    <n v="13"/>
    <n v="61"/>
    <n v="0"/>
    <n v="1"/>
    <n v="0.99210734017363855"/>
    <n v="0.98965791567223549"/>
    <n v="76677"/>
    <n v="8.1967213114754092E-2"/>
    <n v="0"/>
    <n v="0.90351556404787381"/>
    <n v="1"/>
    <s v="Excellent"/>
  </r>
  <r>
    <s v="PO1340"/>
    <s v="V010"/>
    <x v="0"/>
    <s v="Connector"/>
    <x v="0"/>
    <n v="3219"/>
    <n v="3180"/>
    <d v="2026-12-14T00:00:00"/>
    <d v="2026-12-14T00:00:00"/>
    <n v="34"/>
    <n v="55"/>
    <n v="0"/>
    <n v="1"/>
    <n v="0.9878844361602982"/>
    <n v="0.98930817610062893"/>
    <n v="174900"/>
    <n v="9.0909090909090912E-2"/>
    <n v="0"/>
    <n v="0.90346024915315748"/>
    <n v="1"/>
    <s v="Excellent"/>
  </r>
  <r>
    <s v="PO1407"/>
    <s v="V001"/>
    <x v="2"/>
    <s v="Connector"/>
    <x v="3"/>
    <n v="1149"/>
    <n v="1112"/>
    <d v="2026-01-07T00:00:00"/>
    <d v="2026-01-06T00:00:00"/>
    <n v="14"/>
    <n v="42"/>
    <n v="-1"/>
    <n v="1"/>
    <n v="0.96779808529155786"/>
    <n v="0.98741007194244601"/>
    <n v="46704"/>
    <n v="0.11904761904761904"/>
    <n v="0"/>
    <n v="0.90168740054580732"/>
    <n v="1"/>
    <s v="Excellent"/>
  </r>
  <r>
    <s v="PO1255"/>
    <s v="V001"/>
    <x v="2"/>
    <s v="Capacitor"/>
    <x v="10"/>
    <n v="1485"/>
    <n v="1459"/>
    <d v="2026-02-06T00:00:00"/>
    <d v="2026-02-05T00:00:00"/>
    <n v="19"/>
    <n v="55"/>
    <n v="-1"/>
    <n v="1"/>
    <n v="0.98249158249158253"/>
    <n v="0.98697738176833449"/>
    <n v="80245"/>
    <n v="9.0909090909090912E-2"/>
    <n v="0"/>
    <n v="0.90168244011972587"/>
    <n v="1"/>
    <s v="Excellent"/>
  </r>
  <r>
    <s v="PO1146"/>
    <s v="V008"/>
    <x v="4"/>
    <s v="IC"/>
    <x v="0"/>
    <n v="2911"/>
    <n v="2823"/>
    <d v="2026-12-26T00:00:00"/>
    <d v="2026-12-26T00:00:00"/>
    <n v="143"/>
    <n v="22"/>
    <n v="0"/>
    <n v="1"/>
    <n v="0.96976983854345589"/>
    <n v="0.94934466879206514"/>
    <n v="62106"/>
    <n v="0.22727272727272727"/>
    <n v="0"/>
    <n v="0.9014846410735835"/>
    <n v="1"/>
    <s v="Excellent"/>
  </r>
  <r>
    <s v="PO1067"/>
    <s v="V010"/>
    <x v="0"/>
    <s v="IC"/>
    <x v="9"/>
    <n v="4730"/>
    <n v="4667"/>
    <d v="2026-08-09T00:00:00"/>
    <d v="2026-08-09T00:00:00"/>
    <n v="47"/>
    <n v="70"/>
    <n v="0"/>
    <n v="1"/>
    <n v="0.98668076109936576"/>
    <n v="0.9899292907649454"/>
    <n v="326690"/>
    <n v="7.1428571428571425E-2"/>
    <n v="0"/>
    <n v="0.90145779659221392"/>
    <n v="1"/>
    <s v="Excellent"/>
  </r>
  <r>
    <s v="PO1371"/>
    <s v="V005"/>
    <x v="3"/>
    <s v="IC"/>
    <x v="7"/>
    <n v="3188"/>
    <n v="3158"/>
    <d v="2026-10-09T00:00:00"/>
    <d v="2026-10-07T00:00:00"/>
    <n v="64"/>
    <n v="56"/>
    <n v="-2"/>
    <n v="1"/>
    <n v="0.99058971141781682"/>
    <n v="0.97973400886637108"/>
    <n v="176848"/>
    <n v="8.9285714285714288E-2"/>
    <n v="0"/>
    <n v="0.90096671637204617"/>
    <n v="1"/>
    <s v="Excellent"/>
  </r>
  <r>
    <s v="PO1198"/>
    <s v="V005"/>
    <x v="3"/>
    <s v="IC"/>
    <x v="8"/>
    <n v="1659"/>
    <n v="1631"/>
    <d v="2026-09-02T00:00:00"/>
    <d v="2026-08-31T00:00:00"/>
    <n v="35"/>
    <n v="49"/>
    <n v="-2"/>
    <n v="1"/>
    <n v="0.9831223628691983"/>
    <n v="0.97854077253218885"/>
    <n v="79919"/>
    <n v="0.10204081632653061"/>
    <n v="0"/>
    <n v="0.9003907859661493"/>
    <n v="1"/>
    <s v="Excellent"/>
  </r>
  <r>
    <s v="PO1245"/>
    <s v="V005"/>
    <x v="3"/>
    <s v="Capacitor"/>
    <x v="6"/>
    <n v="3295"/>
    <n v="3150"/>
    <d v="2026-06-22T00:00:00"/>
    <d v="2026-06-22T00:00:00"/>
    <n v="65"/>
    <n v="33"/>
    <n v="0"/>
    <n v="1"/>
    <n v="0.95599393019726864"/>
    <n v="0.97936507936507933"/>
    <n v="103950"/>
    <n v="0.15151515151515152"/>
    <n v="0"/>
    <n v="0.90015982500049274"/>
    <n v="1"/>
    <s v="Excellent"/>
  </r>
  <r>
    <s v="PO1021"/>
    <s v="V010"/>
    <x v="0"/>
    <s v="IC"/>
    <x v="10"/>
    <n v="1066"/>
    <n v="1065"/>
    <d v="2026-02-27T00:00:00"/>
    <d v="2026-02-27T00:00:00"/>
    <n v="16"/>
    <n v="104"/>
    <n v="0"/>
    <n v="1"/>
    <n v="0.99906191369606001"/>
    <n v="0.98497652582159623"/>
    <n v="110760"/>
    <n v="4.807692307692308E-2"/>
    <n v="0"/>
    <n v="0.90011303279338317"/>
    <n v="1"/>
    <s v="Excellent"/>
  </r>
  <r>
    <s v="PO1380"/>
    <s v="V010"/>
    <x v="0"/>
    <s v="Capacitor"/>
    <x v="2"/>
    <n v="1526"/>
    <n v="1480"/>
    <d v="2026-05-05T00:00:00"/>
    <d v="2026-05-03T00:00:00"/>
    <n v="19"/>
    <n v="51"/>
    <n v="-2"/>
    <n v="1"/>
    <n v="0.96985583224115335"/>
    <n v="0.98716216216216213"/>
    <n v="75480"/>
    <n v="9.8039215686274508E-2"/>
    <n v="0"/>
    <n v="0.89992373666550673"/>
    <n v="1"/>
    <s v="Moderate"/>
  </r>
  <r>
    <s v="PO1353"/>
    <s v="V003"/>
    <x v="6"/>
    <s v="Connector"/>
    <x v="7"/>
    <n v="1355"/>
    <n v="1296"/>
    <d v="2026-10-10T00:00:00"/>
    <d v="2026-10-08T00:00:00"/>
    <n v="83"/>
    <n v="18"/>
    <n v="-2"/>
    <n v="1"/>
    <n v="0.95645756457564579"/>
    <n v="0.93595679012345678"/>
    <n v="23328"/>
    <n v="0.27777777777777779"/>
    <n v="0"/>
    <n v="0.89985632772994395"/>
    <n v="1"/>
    <s v="Moderate"/>
  </r>
  <r>
    <s v="PO1257"/>
    <s v="V007"/>
    <x v="5"/>
    <s v="IC"/>
    <x v="9"/>
    <n v="1067"/>
    <n v="1062"/>
    <d v="2026-08-26T00:00:00"/>
    <d v="2026-08-24T00:00:00"/>
    <n v="44"/>
    <n v="40"/>
    <n v="-2"/>
    <n v="1"/>
    <n v="0.99531396438612929"/>
    <n v="0.95856873822975519"/>
    <n v="42480"/>
    <n v="0.125"/>
    <n v="0"/>
    <n v="0.89913341434615235"/>
    <n v="1"/>
    <s v="Moderate"/>
  </r>
  <r>
    <s v="PO1442"/>
    <s v="V010"/>
    <x v="0"/>
    <s v="PCB"/>
    <x v="7"/>
    <n v="2744"/>
    <n v="2722"/>
    <d v="2026-10-03T00:00:00"/>
    <d v="2026-10-03T00:00:00"/>
    <n v="30"/>
    <n v="130"/>
    <n v="0"/>
    <n v="1"/>
    <n v="0.99198250728862969"/>
    <n v="0.98897869213813372"/>
    <n v="353860"/>
    <n v="3.8461538461538464E-2"/>
    <n v="0"/>
    <n v="0.89893626294531981"/>
    <n v="1"/>
    <s v="Moderate"/>
  </r>
  <r>
    <s v="PO1364"/>
    <s v="V010"/>
    <x v="0"/>
    <s v="IC"/>
    <x v="6"/>
    <n v="2105"/>
    <n v="2039"/>
    <d v="2026-06-13T00:00:00"/>
    <d v="2026-06-12T00:00:00"/>
    <n v="21"/>
    <n v="61"/>
    <n v="-1"/>
    <n v="1"/>
    <n v="0.96864608076009506"/>
    <n v="0.98970083374203044"/>
    <n v="124379"/>
    <n v="8.1967213114754092E-2"/>
    <n v="0"/>
    <n v="0.89883618758610362"/>
    <n v="1"/>
    <s v="Moderate"/>
  </r>
  <r>
    <s v="PO1281"/>
    <s v="V001"/>
    <x v="2"/>
    <s v="PCB"/>
    <x v="1"/>
    <n v="1922"/>
    <n v="1873"/>
    <d v="2026-07-26T00:00:00"/>
    <d v="2026-07-24T00:00:00"/>
    <n v="22"/>
    <n v="68"/>
    <n v="-2"/>
    <n v="1"/>
    <n v="0.97450572320499484"/>
    <n v="0.98825413774693005"/>
    <n v="127364"/>
    <n v="7.3529411764705885E-2"/>
    <n v="0"/>
    <n v="0.89873032714154855"/>
    <n v="1"/>
    <s v="Moderate"/>
  </r>
  <r>
    <s v="PO1167"/>
    <s v="V005"/>
    <x v="3"/>
    <s v="IC"/>
    <x v="7"/>
    <n v="2094"/>
    <n v="2078"/>
    <d v="2026-10-16T00:00:00"/>
    <d v="2026-10-16T00:00:00"/>
    <n v="43"/>
    <n v="80"/>
    <n v="0"/>
    <n v="1"/>
    <n v="0.99235912129894943"/>
    <n v="0.97930702598652553"/>
    <n v="166240"/>
    <n v="6.25E-2"/>
    <n v="0"/>
    <n v="0.89851393205574759"/>
    <n v="1"/>
    <s v="Moderate"/>
  </r>
  <r>
    <s v="PO1044"/>
    <s v="V004"/>
    <x v="1"/>
    <s v="Capacitor"/>
    <x v="11"/>
    <n v="3366"/>
    <n v="3344"/>
    <d v="2026-03-25T00:00:00"/>
    <d v="2026-03-24T00:00:00"/>
    <n v="301"/>
    <n v="19"/>
    <n v="-1"/>
    <n v="1"/>
    <n v="0.99346405228758172"/>
    <n v="0.90998803827751196"/>
    <n v="63536"/>
    <n v="0.26315789473684209"/>
    <n v="0"/>
    <n v="0.8980050114144541"/>
    <n v="1"/>
    <s v="Moderate"/>
  </r>
  <r>
    <s v="PO1346"/>
    <s v="V010"/>
    <x v="0"/>
    <s v="PCB"/>
    <x v="5"/>
    <n v="3806"/>
    <n v="3762"/>
    <d v="2026-04-17T00:00:00"/>
    <d v="2026-04-17T00:00:00"/>
    <n v="43"/>
    <n v="138"/>
    <n v="0"/>
    <n v="1"/>
    <n v="0.98843930635838151"/>
    <n v="0.98856990962254121"/>
    <n v="519156"/>
    <n v="3.6231884057971016E-2"/>
    <n v="0"/>
    <n v="0.89788202256423588"/>
    <n v="1"/>
    <s v="Moderate"/>
  </r>
  <r>
    <s v="PO1068"/>
    <s v="V010"/>
    <x v="0"/>
    <s v="Capacitor"/>
    <x v="5"/>
    <n v="2734"/>
    <n v="2711"/>
    <d v="2026-04-22T00:00:00"/>
    <d v="2026-04-20T00:00:00"/>
    <n v="29"/>
    <n v="196"/>
    <n v="-2"/>
    <n v="1"/>
    <n v="0.9915874177029993"/>
    <n v="0.98930284028033932"/>
    <n v="531356"/>
    <n v="2.5510204081632654E-2"/>
    <n v="0"/>
    <n v="0.89765935603286484"/>
    <n v="1"/>
    <s v="Moderate"/>
  </r>
  <r>
    <s v="PO1271"/>
    <s v="V010"/>
    <x v="0"/>
    <s v="Capacitor"/>
    <x v="4"/>
    <n v="732"/>
    <n v="727"/>
    <d v="2026-11-14T00:00:00"/>
    <d v="2026-11-14T00:00:00"/>
    <n v="10"/>
    <n v="159"/>
    <n v="0"/>
    <n v="1"/>
    <n v="0.99316939890710387"/>
    <n v="0.98624484181568084"/>
    <n v="115593"/>
    <n v="3.1446540880503145E-2"/>
    <n v="0"/>
    <n v="0.89765198641417543"/>
    <n v="1"/>
    <s v="Moderate"/>
  </r>
  <r>
    <s v="PO1332"/>
    <s v="V001"/>
    <x v="2"/>
    <s v="Connector"/>
    <x v="7"/>
    <n v="1411"/>
    <n v="1402"/>
    <d v="2026-10-18T00:00:00"/>
    <d v="2026-10-18T00:00:00"/>
    <n v="16"/>
    <n v="239"/>
    <n v="0"/>
    <n v="1"/>
    <n v="0.9936215450035436"/>
    <n v="0.98858773181169757"/>
    <n v="335078"/>
    <n v="2.0920502092050208E-2"/>
    <n v="0"/>
    <n v="0.89739267875342299"/>
    <n v="1"/>
    <s v="Moderate"/>
  </r>
  <r>
    <s v="PO1321"/>
    <s v="V006"/>
    <x v="9"/>
    <s v="Connector"/>
    <x v="9"/>
    <n v="4290"/>
    <n v="4112"/>
    <d v="2026-08-25T00:00:00"/>
    <d v="2026-08-25T00:00:00"/>
    <n v="494"/>
    <n v="12"/>
    <n v="0"/>
    <n v="1"/>
    <n v="0.95850815850815851"/>
    <n v="0.87986381322957197"/>
    <n v="49344"/>
    <n v="0.41666666666666669"/>
    <n v="0"/>
    <n v="0.89732744233716999"/>
    <n v="1"/>
    <s v="Moderate"/>
  </r>
  <r>
    <s v="PO1356"/>
    <s v="V010"/>
    <x v="0"/>
    <s v="IC"/>
    <x v="2"/>
    <n v="2580"/>
    <n v="2557"/>
    <d v="2026-05-13T00:00:00"/>
    <d v="2026-05-13T00:00:00"/>
    <n v="29"/>
    <n v="201"/>
    <n v="0"/>
    <n v="1"/>
    <n v="0.99108527131782942"/>
    <n v="0.98865858427845132"/>
    <n v="513957"/>
    <n v="2.4875621890547265E-2"/>
    <n v="0"/>
    <n v="0.89730219173615611"/>
    <n v="1"/>
    <s v="Moderate"/>
  </r>
  <r>
    <s v="PO1116"/>
    <s v="V010"/>
    <x v="0"/>
    <s v="Capacitor"/>
    <x v="1"/>
    <n v="722"/>
    <n v="715"/>
    <d v="2026-07-05T00:00:00"/>
    <d v="2026-07-05T00:00:00"/>
    <n v="12"/>
    <n v="118"/>
    <n v="0"/>
    <n v="1"/>
    <n v="0.99030470914127422"/>
    <n v="0.98321678321678319"/>
    <n v="84370"/>
    <n v="4.2372881355932202E-2"/>
    <n v="0"/>
    <n v="0.89726326492888298"/>
    <n v="1"/>
    <s v="Moderate"/>
  </r>
  <r>
    <s v="PO1163"/>
    <s v="V005"/>
    <x v="3"/>
    <s v="IC"/>
    <x v="3"/>
    <n v="2841"/>
    <n v="2738"/>
    <d v="2026-01-16T00:00:00"/>
    <d v="2026-01-16T00:00:00"/>
    <n v="59"/>
    <n v="46"/>
    <n v="0"/>
    <n v="1"/>
    <n v="0.96374516015487499"/>
    <n v="0.97845142439737032"/>
    <n v="125948"/>
    <n v="0.10869565217391304"/>
    <n v="0"/>
    <n v="0.89715402456757753"/>
    <n v="1"/>
    <s v="Moderate"/>
  </r>
  <r>
    <s v="PO1094"/>
    <s v="V001"/>
    <x v="2"/>
    <s v="IC"/>
    <x v="2"/>
    <n v="829"/>
    <n v="824"/>
    <d v="2026-05-13T00:00:00"/>
    <d v="2026-05-12T00:00:00"/>
    <n v="11"/>
    <n v="235"/>
    <n v="-1"/>
    <n v="1"/>
    <n v="0.99396863691194215"/>
    <n v="0.98665048543689315"/>
    <n v="193640"/>
    <n v="2.1276595744680851E-2"/>
    <n v="0"/>
    <n v="0.89691653258792448"/>
    <n v="1"/>
    <s v="Moderate"/>
  </r>
  <r>
    <s v="PO1010"/>
    <s v="V010"/>
    <x v="0"/>
    <s v="Connector"/>
    <x v="8"/>
    <n v="1823"/>
    <n v="1806"/>
    <d v="2026-09-23T00:00:00"/>
    <d v="2026-09-23T00:00:00"/>
    <n v="22"/>
    <n v="223"/>
    <n v="0"/>
    <n v="1"/>
    <n v="0.99067471201316515"/>
    <n v="0.98781838316722037"/>
    <n v="402738"/>
    <n v="2.2421524663677129E-2"/>
    <n v="0"/>
    <n v="0.89672260981916685"/>
    <n v="1"/>
    <s v="Moderate"/>
  </r>
  <r>
    <s v="PO1254"/>
    <s v="V001"/>
    <x v="2"/>
    <s v="IC"/>
    <x v="6"/>
    <n v="2760"/>
    <n v="2726"/>
    <d v="2026-06-13T00:00:00"/>
    <d v="2026-06-11T00:00:00"/>
    <n v="33"/>
    <n v="188"/>
    <n v="-2"/>
    <n v="1"/>
    <n v="0.98768115942028989"/>
    <n v="0.98789435069699194"/>
    <n v="512488"/>
    <n v="2.6595744680851064E-2"/>
    <n v="0"/>
    <n v="0.89656411156124072"/>
    <n v="1"/>
    <s v="Moderate"/>
  </r>
  <r>
    <s v="PO1301"/>
    <s v="V001"/>
    <x v="2"/>
    <s v="Connector"/>
    <x v="2"/>
    <n v="3426"/>
    <n v="3382"/>
    <d v="2026-05-17T00:00:00"/>
    <d v="2026-05-15T00:00:00"/>
    <n v="38"/>
    <n v="200"/>
    <n v="-2"/>
    <n v="1"/>
    <n v="0.98715703444249858"/>
    <n v="0.9887640449438202"/>
    <n v="676400"/>
    <n v="2.5000000000000001E-2"/>
    <n v="0"/>
    <n v="0.89656062037164563"/>
    <n v="1"/>
    <s v="Moderate"/>
  </r>
  <r>
    <s v="PO1177"/>
    <s v="V010"/>
    <x v="0"/>
    <s v="PCB"/>
    <x v="5"/>
    <n v="2551"/>
    <n v="2519"/>
    <d v="2026-04-16T00:00:00"/>
    <d v="2026-04-15T00:00:00"/>
    <n v="27"/>
    <n v="227"/>
    <n v="-1"/>
    <n v="1"/>
    <n v="0.98745589964719716"/>
    <n v="0.98928146089718139"/>
    <n v="571813"/>
    <n v="2.2026431718061675E-2"/>
    <n v="0"/>
    <n v="0.89647826137039999"/>
    <n v="1"/>
    <s v="Moderate"/>
  </r>
  <r>
    <s v="PO1172"/>
    <s v="V001"/>
    <x v="2"/>
    <s v="Capacitor"/>
    <x v="4"/>
    <n v="1686"/>
    <n v="1652"/>
    <d v="2026-11-21T00:00:00"/>
    <d v="2026-11-19T00:00:00"/>
    <n v="20"/>
    <n v="125"/>
    <n v="-2"/>
    <n v="1"/>
    <n v="0.97983392645314349"/>
    <n v="0.98789346246973364"/>
    <n v="206500"/>
    <n v="0.04"/>
    <n v="0"/>
    <n v="0.89633482403154885"/>
    <n v="1"/>
    <s v="Moderate"/>
  </r>
  <r>
    <s v="PO1082"/>
    <s v="V005"/>
    <x v="3"/>
    <s v="IC"/>
    <x v="3"/>
    <n v="1518"/>
    <n v="1475"/>
    <d v="2026-01-05T00:00:00"/>
    <d v="2026-01-04T00:00:00"/>
    <n v="32"/>
    <n v="59"/>
    <n v="-1"/>
    <n v="1"/>
    <n v="0.97167325428194995"/>
    <n v="0.97830508474576272"/>
    <n v="87025"/>
    <n v="8.4745762711864403E-2"/>
    <n v="0"/>
    <n v="0.89630075255130526"/>
    <n v="1"/>
    <s v="Moderate"/>
  </r>
  <r>
    <s v="PO1368"/>
    <s v="V010"/>
    <x v="0"/>
    <s v="PCB"/>
    <x v="0"/>
    <n v="1929"/>
    <n v="1901"/>
    <d v="2026-12-31T00:00:00"/>
    <d v="2026-12-31T00:00:00"/>
    <n v="22"/>
    <n v="189"/>
    <n v="0"/>
    <n v="1"/>
    <n v="0.98548470710212543"/>
    <n v="0.98842714360862705"/>
    <n v="359289"/>
    <n v="2.6455026455026454E-2"/>
    <n v="0"/>
    <n v="0.89627058714851593"/>
    <n v="1"/>
    <s v="Moderate"/>
  </r>
  <r>
    <s v="PO1070"/>
    <s v="V005"/>
    <x v="3"/>
    <s v="IC"/>
    <x v="0"/>
    <n v="947"/>
    <n v="915"/>
    <d v="2026-12-17T00:00:00"/>
    <d v="2026-12-15T00:00:00"/>
    <n v="24"/>
    <n v="46"/>
    <n v="-2"/>
    <n v="1"/>
    <n v="0.96620908130939809"/>
    <n v="0.97377049180327868"/>
    <n v="42090"/>
    <n v="0.10869565217391304"/>
    <n v="0"/>
    <n v="0.89624252902025459"/>
    <n v="1"/>
    <s v="Moderate"/>
  </r>
  <r>
    <s v="PO1176"/>
    <s v="V005"/>
    <x v="3"/>
    <s v="Capacitor"/>
    <x v="4"/>
    <n v="3634"/>
    <n v="3588"/>
    <d v="2026-11-19T00:00:00"/>
    <d v="2026-11-17T00:00:00"/>
    <n v="74"/>
    <n v="101"/>
    <n v="-2"/>
    <n v="1"/>
    <n v="0.98734177215189878"/>
    <n v="0.97937569676700109"/>
    <n v="362388"/>
    <n v="4.9504950495049507E-2"/>
    <n v="0"/>
    <n v="0.89623155850998504"/>
    <n v="1"/>
    <s v="Moderate"/>
  </r>
  <r>
    <s v="PO1019"/>
    <s v="V003"/>
    <x v="6"/>
    <s v="Capacitor"/>
    <x v="2"/>
    <n v="1895"/>
    <n v="1841"/>
    <d v="2026-05-15T00:00:00"/>
    <d v="2026-05-13T00:00:00"/>
    <n v="111"/>
    <n v="25"/>
    <n v="-2"/>
    <n v="1"/>
    <n v="0.97150395778364118"/>
    <n v="0.9397066811515481"/>
    <n v="46025"/>
    <n v="0.2"/>
    <n v="0"/>
    <n v="0.89621279590219283"/>
    <n v="1"/>
    <s v="Moderate"/>
  </r>
  <r>
    <s v="PO1200"/>
    <s v="V010"/>
    <x v="0"/>
    <s v="PCB"/>
    <x v="9"/>
    <n v="3901"/>
    <n v="3780"/>
    <d v="2026-08-26T00:00:00"/>
    <d v="2026-08-26T00:00:00"/>
    <n v="43"/>
    <n v="86"/>
    <n v="0"/>
    <n v="1"/>
    <n v="0.96898231222763398"/>
    <n v="0.98862433862433863"/>
    <n v="325080"/>
    <n v="5.8139534883720929E-2"/>
    <n v="0"/>
    <n v="0.89619771752120059"/>
    <n v="1"/>
    <s v="Moderate"/>
  </r>
  <r>
    <s v="PO1105"/>
    <s v="V007"/>
    <x v="5"/>
    <s v="PCB"/>
    <x v="7"/>
    <n v="3567"/>
    <n v="3340"/>
    <d v="2026-10-23T00:00:00"/>
    <d v="2026-10-21T00:00:00"/>
    <n v="135"/>
    <n v="24"/>
    <n v="-2"/>
    <n v="1"/>
    <n v="0.93636108774880855"/>
    <n v="0.95958083832335328"/>
    <n v="80160"/>
    <n v="0.20833333333333334"/>
    <n v="0"/>
    <n v="0.89597980238010111"/>
    <n v="1"/>
    <s v="Moderate"/>
  </r>
  <r>
    <s v="PO1496"/>
    <s v="V010"/>
    <x v="0"/>
    <s v="PCB"/>
    <x v="11"/>
    <n v="1656"/>
    <n v="1622"/>
    <d v="2026-03-05T00:00:00"/>
    <d v="2026-03-05T00:00:00"/>
    <n v="20"/>
    <n v="133"/>
    <n v="0"/>
    <n v="1"/>
    <n v="0.97946859903381644"/>
    <n v="0.98766954377311955"/>
    <n v="215726"/>
    <n v="3.7593984962406013E-2"/>
    <n v="0"/>
    <n v="0.89595398143493976"/>
    <n v="1"/>
    <s v="Moderate"/>
  </r>
  <r>
    <s v="PO1345"/>
    <s v="V003"/>
    <x v="6"/>
    <s v="PCB"/>
    <x v="8"/>
    <n v="1749"/>
    <n v="1695"/>
    <d v="2026-09-26T00:00:00"/>
    <d v="2026-09-24T00:00:00"/>
    <n v="106"/>
    <n v="24"/>
    <n v="-2"/>
    <n v="1"/>
    <n v="0.96912521440823329"/>
    <n v="0.93746312684365785"/>
    <n v="40680"/>
    <n v="0.20833333333333334"/>
    <n v="0"/>
    <n v="0.8958973142680775"/>
    <n v="1"/>
    <s v="Moderate"/>
  </r>
  <r>
    <s v="PO1237"/>
    <s v="V005"/>
    <x v="3"/>
    <s v="Connector"/>
    <x v="10"/>
    <n v="4084"/>
    <n v="4069"/>
    <d v="2026-02-28T00:00:00"/>
    <d v="2026-02-28T00:00:00"/>
    <n v="87"/>
    <n v="170"/>
    <n v="0"/>
    <n v="1"/>
    <n v="0.99632713026444664"/>
    <n v="0.97861882526419264"/>
    <n v="691730"/>
    <n v="2.9411764705882353E-2"/>
    <n v="0"/>
    <n v="0.89579225010273533"/>
    <n v="1"/>
    <s v="Moderate"/>
  </r>
  <r>
    <s v="PO1098"/>
    <s v="V007"/>
    <x v="5"/>
    <s v="Capacitor"/>
    <x v="6"/>
    <n v="440"/>
    <n v="438"/>
    <d v="2026-06-16T00:00:00"/>
    <d v="2026-06-15T00:00:00"/>
    <n v="18"/>
    <n v="56"/>
    <n v="-1"/>
    <n v="1"/>
    <n v="0.99545454545454548"/>
    <n v="0.95890410958904104"/>
    <n v="24528"/>
    <n v="8.9285714285714288E-2"/>
    <n v="0"/>
    <n v="0.89569071339619277"/>
    <n v="1"/>
    <s v="Moderate"/>
  </r>
  <r>
    <s v="PO1454"/>
    <s v="V001"/>
    <x v="2"/>
    <s v="Capacitor"/>
    <x v="6"/>
    <n v="4810"/>
    <n v="4691"/>
    <d v="2026-06-14T00:00:00"/>
    <d v="2026-06-13T00:00:00"/>
    <n v="49"/>
    <n v="137"/>
    <n v="-1"/>
    <n v="1"/>
    <n v="0.97525987525987523"/>
    <n v="0.98955446599872099"/>
    <n v="642667"/>
    <n v="3.6496350364963501E-2"/>
    <n v="0"/>
    <n v="0.89556794988808774"/>
    <n v="1"/>
    <s v="Moderate"/>
  </r>
  <r>
    <s v="PO1061"/>
    <s v="V001"/>
    <x v="2"/>
    <s v="Capacitor"/>
    <x v="8"/>
    <n v="1168"/>
    <n v="1153"/>
    <d v="2026-09-02T00:00:00"/>
    <d v="2026-09-02T00:00:00"/>
    <n v="17"/>
    <n v="205"/>
    <n v="0"/>
    <n v="1"/>
    <n v="0.98715753424657537"/>
    <n v="0.98525585429314833"/>
    <n v="236365"/>
    <n v="2.4390243902439025E-2"/>
    <n v="0"/>
    <n v="0.89544728752750347"/>
    <n v="1"/>
    <s v="Moderate"/>
  </r>
  <r>
    <s v="PO1350"/>
    <s v="V001"/>
    <x v="2"/>
    <s v="PCB"/>
    <x v="8"/>
    <n v="3973"/>
    <n v="3907"/>
    <d v="2026-09-24T00:00:00"/>
    <d v="2026-09-24T00:00:00"/>
    <n v="44"/>
    <n v="237"/>
    <n v="0"/>
    <n v="1"/>
    <n v="0.98338786810974077"/>
    <n v="0.98873816227284361"/>
    <n v="925959"/>
    <n v="2.1097046413502109E-2"/>
    <n v="0"/>
    <n v="0.8954087269451515"/>
    <n v="1"/>
    <s v="Moderate"/>
  </r>
  <r>
    <s v="PO1050"/>
    <s v="V007"/>
    <x v="5"/>
    <s v="Capacitor"/>
    <x v="5"/>
    <n v="3796"/>
    <n v="3782"/>
    <d v="2026-04-03T00:00:00"/>
    <d v="2026-04-03T00:00:00"/>
    <n v="157"/>
    <n v="59"/>
    <n v="0"/>
    <n v="1"/>
    <n v="0.99631190727081143"/>
    <n v="0.95848757271285034"/>
    <n v="223138"/>
    <n v="8.4745762711864403E-2"/>
    <n v="0"/>
    <n v="0.89528322953920392"/>
    <n v="1"/>
    <s v="Moderate"/>
  </r>
  <r>
    <s v="PO1184"/>
    <s v="V002"/>
    <x v="8"/>
    <s v="IC"/>
    <x v="4"/>
    <n v="3017"/>
    <n v="2943"/>
    <d v="2026-11-21T00:00:00"/>
    <d v="2026-11-19T00:00:00"/>
    <n v="92"/>
    <n v="53"/>
    <n v="-2"/>
    <n v="1"/>
    <n v="0.97547232350016577"/>
    <n v="0.96873938158341832"/>
    <n v="155979"/>
    <n v="9.4339622641509441E-2"/>
    <n v="0"/>
    <n v="0.89515024143920974"/>
    <n v="1"/>
    <s v="Moderate"/>
  </r>
  <r>
    <s v="PO1102"/>
    <s v="V001"/>
    <x v="2"/>
    <s v="Capacitor"/>
    <x v="11"/>
    <n v="683"/>
    <n v="671"/>
    <d v="2026-03-05T00:00:00"/>
    <d v="2026-03-04T00:00:00"/>
    <n v="9"/>
    <n v="202"/>
    <n v="-1"/>
    <n v="1"/>
    <n v="0.98243045387994143"/>
    <n v="0.98658718330849482"/>
    <n v="135542"/>
    <n v="2.4752475247524754E-2"/>
    <n v="0"/>
    <n v="0.89493749329328931"/>
    <n v="1"/>
    <s v="Moderate"/>
  </r>
  <r>
    <s v="PO1287"/>
    <s v="V005"/>
    <x v="3"/>
    <s v="PCB"/>
    <x v="3"/>
    <n v="2821"/>
    <n v="2792"/>
    <d v="2026-01-18T00:00:00"/>
    <d v="2026-01-17T00:00:00"/>
    <n v="57"/>
    <n v="161"/>
    <n v="-1"/>
    <n v="1"/>
    <n v="0.9897199574618929"/>
    <n v="0.97958452722063039"/>
    <n v="449512"/>
    <n v="3.1055900621118012E-2"/>
    <n v="0"/>
    <n v="0.89492493972067955"/>
    <n v="1"/>
    <s v="Moderate"/>
  </r>
  <r>
    <s v="PO1431"/>
    <s v="V010"/>
    <x v="0"/>
    <s v="Capacitor"/>
    <x v="1"/>
    <n v="4765"/>
    <n v="4586"/>
    <d v="2026-07-24T00:00:00"/>
    <d v="2026-07-22T00:00:00"/>
    <n v="47"/>
    <n v="92"/>
    <n v="-2"/>
    <n v="1"/>
    <n v="0.96243441762854143"/>
    <n v="0.98975141735717398"/>
    <n v="421912"/>
    <n v="5.434782608695652E-2"/>
    <n v="0"/>
    <n v="0.89484709134155616"/>
    <n v="1"/>
    <s v="Moderate"/>
  </r>
  <r>
    <s v="PO1396"/>
    <s v="V010"/>
    <x v="0"/>
    <s v="Capacitor"/>
    <x v="7"/>
    <n v="512"/>
    <n v="504"/>
    <d v="2026-10-12T00:00:00"/>
    <d v="2026-10-11T00:00:00"/>
    <n v="7"/>
    <n v="242"/>
    <n v="-1"/>
    <n v="1"/>
    <n v="0.984375"/>
    <n v="0.98611111111111116"/>
    <n v="121968"/>
    <n v="2.0661157024793389E-2"/>
    <n v="0"/>
    <n v="0.89477444903581271"/>
    <n v="1"/>
    <s v="Moderate"/>
  </r>
  <r>
    <s v="PO1226"/>
    <s v="V001"/>
    <x v="2"/>
    <s v="Capacitor"/>
    <x v="0"/>
    <n v="2199"/>
    <n v="2126"/>
    <d v="2026-12-20T00:00:00"/>
    <d v="2026-12-19T00:00:00"/>
    <n v="23"/>
    <n v="109"/>
    <n v="-1"/>
    <n v="1"/>
    <n v="0.96680309231468853"/>
    <n v="0.98918156161806203"/>
    <n v="231734"/>
    <n v="4.5871559633027525E-2"/>
    <n v="0"/>
    <n v="0.89470224291165901"/>
    <n v="1"/>
    <s v="Moderate"/>
  </r>
  <r>
    <s v="PO1241"/>
    <s v="V002"/>
    <x v="8"/>
    <s v="IC"/>
    <x v="5"/>
    <n v="3893"/>
    <n v="3809"/>
    <d v="2026-04-28T00:00:00"/>
    <d v="2026-04-26T00:00:00"/>
    <n v="120"/>
    <n v="64"/>
    <n v="-2"/>
    <n v="1"/>
    <n v="0.97842281017210375"/>
    <n v="0.96849566815437127"/>
    <n v="243776"/>
    <n v="7.8125E-2"/>
    <n v="0"/>
    <n v="0.89404576248073209"/>
    <n v="1"/>
    <s v="Moderate"/>
  </r>
  <r>
    <s v="PO1411"/>
    <s v="V001"/>
    <x v="2"/>
    <s v="IC"/>
    <x v="8"/>
    <n v="3916"/>
    <n v="3756"/>
    <d v="2026-09-14T00:00:00"/>
    <d v="2026-09-12T00:00:00"/>
    <n v="42"/>
    <n v="90"/>
    <n v="-2"/>
    <n v="1"/>
    <n v="0.95914198161389175"/>
    <n v="0.98881789137380194"/>
    <n v="338040"/>
    <n v="5.5555555555555552E-2"/>
    <n v="0"/>
    <n v="0.89402931929047458"/>
    <n v="1"/>
    <s v="Moderate"/>
  </r>
  <r>
    <s v="PO1421"/>
    <s v="V008"/>
    <x v="4"/>
    <s v="PCB"/>
    <x v="8"/>
    <n v="893"/>
    <n v="852"/>
    <d v="2026-09-17T00:00:00"/>
    <d v="2026-09-17T00:00:00"/>
    <n v="48"/>
    <n v="25"/>
    <n v="0"/>
    <n v="1"/>
    <n v="0.95408734602463607"/>
    <n v="0.94366197183098588"/>
    <n v="21300"/>
    <n v="0.2"/>
    <n v="0"/>
    <n v="0.89391606075422303"/>
    <n v="1"/>
    <s v="Moderate"/>
  </r>
  <r>
    <s v="PO1108"/>
    <s v="V005"/>
    <x v="3"/>
    <s v="Connector"/>
    <x v="1"/>
    <n v="4507"/>
    <n v="4449"/>
    <d v="2026-07-30T00:00:00"/>
    <d v="2026-07-29T00:00:00"/>
    <n v="90"/>
    <n v="201"/>
    <n v="-1"/>
    <n v="1"/>
    <n v="0.98713112935433767"/>
    <n v="0.97977073499662848"/>
    <n v="894249"/>
    <n v="2.4875621890547265E-2"/>
    <n v="0"/>
    <n v="0.8938450085589108"/>
    <n v="1"/>
    <s v="Moderate"/>
  </r>
  <r>
    <s v="PO1290"/>
    <s v="V006"/>
    <x v="9"/>
    <s v="Connector"/>
    <x v="0"/>
    <n v="1516"/>
    <n v="1403"/>
    <d v="2026-12-25T00:00:00"/>
    <d v="2026-12-24T00:00:00"/>
    <n v="172"/>
    <n v="11"/>
    <n v="-1"/>
    <n v="1"/>
    <n v="0.92546174142480209"/>
    <n v="0.87740555951532428"/>
    <n v="15433"/>
    <n v="0.45454545454545453"/>
    <n v="0"/>
    <n v="0.89376856159410312"/>
    <n v="1"/>
    <s v="Moderate"/>
  </r>
  <r>
    <s v="PO1100"/>
    <s v="V007"/>
    <x v="5"/>
    <s v="Connector"/>
    <x v="9"/>
    <n v="2257"/>
    <n v="2203"/>
    <d v="2026-08-28T00:00:00"/>
    <d v="2026-08-26T00:00:00"/>
    <n v="89"/>
    <n v="47"/>
    <n v="-2"/>
    <n v="1"/>
    <n v="0.97607443509082858"/>
    <n v="0.95960054471175671"/>
    <n v="103541"/>
    <n v="0.10638297872340426"/>
    <n v="0"/>
    <n v="0.89373334830403306"/>
    <n v="1"/>
    <s v="Moderate"/>
  </r>
  <r>
    <s v="PO1007"/>
    <s v="V001"/>
    <x v="2"/>
    <s v="PCB"/>
    <x v="0"/>
    <n v="4952"/>
    <n v="4809"/>
    <d v="2026-12-15T00:00:00"/>
    <d v="2026-12-13T00:00:00"/>
    <n v="49"/>
    <n v="226"/>
    <n v="-2"/>
    <n v="1"/>
    <n v="0.97112277867528274"/>
    <n v="0.98981077147016017"/>
    <n v="1086834"/>
    <n v="2.2123893805309734E-2"/>
    <n v="0"/>
    <n v="0.8933801765566356"/>
    <n v="1"/>
    <s v="Moderate"/>
  </r>
  <r>
    <s v="PO1026"/>
    <s v="V010"/>
    <x v="0"/>
    <s v="Capacitor"/>
    <x v="10"/>
    <n v="1815"/>
    <n v="1769"/>
    <d v="2026-02-26T00:00:00"/>
    <d v="2026-02-26T00:00:00"/>
    <n v="23"/>
    <n v="218"/>
    <n v="0"/>
    <n v="1"/>
    <n v="0.9746556473829201"/>
    <n v="0.98699830412662526"/>
    <n v="385642"/>
    <n v="2.2935779816513763E-2"/>
    <n v="0"/>
    <n v="0.89332419869622315"/>
    <n v="1"/>
    <s v="Moderate"/>
  </r>
  <r>
    <s v="PO1367"/>
    <s v="V010"/>
    <x v="0"/>
    <s v="PCB"/>
    <x v="8"/>
    <n v="4032"/>
    <n v="3916"/>
    <d v="2026-09-27T00:00:00"/>
    <d v="2026-09-26T00:00:00"/>
    <n v="45"/>
    <n v="198"/>
    <n v="-1"/>
    <n v="1"/>
    <n v="0.97123015873015872"/>
    <n v="0.9885086823289071"/>
    <n v="775368"/>
    <n v="2.5252525252525252E-2"/>
    <n v="0"/>
    <n v="0.89332388896995629"/>
    <n v="1"/>
    <s v="Moderate"/>
  </r>
  <r>
    <s v="PO1475"/>
    <s v="V010"/>
    <x v="0"/>
    <s v="IC"/>
    <x v="6"/>
    <n v="3967"/>
    <n v="3846"/>
    <d v="2026-06-07T00:00:00"/>
    <d v="2026-06-06T00:00:00"/>
    <n v="44"/>
    <n v="176"/>
    <n v="-1"/>
    <n v="1"/>
    <n v="0.96949836148222834"/>
    <n v="0.9885595423816953"/>
    <n v="676896"/>
    <n v="2.8409090909090908E-2"/>
    <n v="0"/>
    <n v="0.89330844410186339"/>
    <n v="1"/>
    <s v="Moderate"/>
  </r>
  <r>
    <s v="PO1012"/>
    <s v="V001"/>
    <x v="2"/>
    <s v="Connector"/>
    <x v="0"/>
    <n v="3023"/>
    <n v="2892"/>
    <d v="2026-12-20T00:00:00"/>
    <d v="2026-12-19T00:00:00"/>
    <n v="31"/>
    <n v="97"/>
    <n v="-1"/>
    <n v="1"/>
    <n v="0.95666556400926228"/>
    <n v="0.98928077455048413"/>
    <n v="280524"/>
    <n v="5.1546391752577317E-2"/>
    <n v="0"/>
    <n v="0.89327198434225541"/>
    <n v="1"/>
    <s v="Moderate"/>
  </r>
  <r>
    <s v="PO1294"/>
    <s v="V010"/>
    <x v="0"/>
    <s v="Connector"/>
    <x v="10"/>
    <n v="2286"/>
    <n v="2225"/>
    <d v="2026-02-10T00:00:00"/>
    <d v="2026-02-10T00:00:00"/>
    <n v="26"/>
    <n v="242"/>
    <n v="0"/>
    <n v="1"/>
    <n v="0.97331583552055989"/>
    <n v="0.98831460674157301"/>
    <n v="538450"/>
    <n v="2.0661157024793389E-2"/>
    <n v="0"/>
    <n v="0.89322366482906335"/>
    <n v="1"/>
    <s v="Moderate"/>
  </r>
  <r>
    <s v="PO1110"/>
    <s v="V005"/>
    <x v="3"/>
    <s v="PCB"/>
    <x v="5"/>
    <n v="2571"/>
    <n v="2522"/>
    <d v="2026-04-24T00:00:00"/>
    <d v="2026-04-22T00:00:00"/>
    <n v="55"/>
    <n v="152"/>
    <n v="-2"/>
    <n v="1"/>
    <n v="0.9809412679891093"/>
    <n v="0.97819191118160187"/>
    <n v="383344"/>
    <n v="3.2894736842105261E-2"/>
    <n v="0"/>
    <n v="0.89293530063651294"/>
    <n v="1"/>
    <s v="Moderate"/>
  </r>
  <r>
    <s v="PO1473"/>
    <s v="V002"/>
    <x v="8"/>
    <s v="IC"/>
    <x v="3"/>
    <n v="3223"/>
    <n v="2979"/>
    <d v="2026-01-17T00:00:00"/>
    <d v="2026-01-16T00:00:00"/>
    <n v="92"/>
    <n v="29"/>
    <n v="-1"/>
    <n v="1"/>
    <n v="0.92429413589823151"/>
    <n v="0.96911715340718363"/>
    <n v="86391"/>
    <n v="0.17241379310344829"/>
    <n v="0"/>
    <n v="0.8928353525121463"/>
    <n v="1"/>
    <s v="Moderate"/>
  </r>
  <r>
    <s v="PO1250"/>
    <s v="V005"/>
    <x v="3"/>
    <s v="Connector"/>
    <x v="6"/>
    <n v="2505"/>
    <n v="2400"/>
    <d v="2026-06-18T00:00:00"/>
    <d v="2026-06-18T00:00:00"/>
    <n v="52"/>
    <n v="66"/>
    <n v="0"/>
    <n v="1"/>
    <n v="0.95808383233532934"/>
    <n v="0.97833333333333339"/>
    <n v="158400"/>
    <n v="7.575757575757576E-2"/>
    <n v="0"/>
    <n v="0.8926925240428234"/>
    <n v="1"/>
    <s v="Moderate"/>
  </r>
  <r>
    <s v="PO1174"/>
    <s v="V007"/>
    <x v="5"/>
    <s v="PCB"/>
    <x v="8"/>
    <n v="288"/>
    <n v="285"/>
    <d v="2026-09-04T00:00:00"/>
    <d v="2026-09-04T00:00:00"/>
    <n v="12"/>
    <n v="68"/>
    <n v="0"/>
    <n v="1"/>
    <n v="0.98958333333333337"/>
    <n v="0.95789473684210524"/>
    <n v="19380"/>
    <n v="7.3529411764705885E-2"/>
    <n v="0"/>
    <n v="0.89263802889576893"/>
    <n v="1"/>
    <s v="Moderate"/>
  </r>
  <r>
    <s v="PO1392"/>
    <s v="V003"/>
    <x v="6"/>
    <s v="Capacitor"/>
    <x v="3"/>
    <n v="3887"/>
    <n v="3835"/>
    <d v="2026-01-21T00:00:00"/>
    <d v="2026-01-19T00:00:00"/>
    <n v="234"/>
    <n v="37"/>
    <n v="-2"/>
    <n v="1"/>
    <n v="0.98662207357859533"/>
    <n v="0.93898305084745759"/>
    <n v="141895"/>
    <n v="0.13513513513513514"/>
    <n v="0"/>
    <n v="0.89253284348346984"/>
    <n v="1"/>
    <s v="Moderate"/>
  </r>
  <r>
    <s v="PO1385"/>
    <s v="V005"/>
    <x v="3"/>
    <s v="IC"/>
    <x v="5"/>
    <n v="2705"/>
    <n v="2649"/>
    <d v="2026-04-24T00:00:00"/>
    <d v="2026-04-23T00:00:00"/>
    <n v="54"/>
    <n v="181"/>
    <n v="-1"/>
    <n v="1"/>
    <n v="0.97929759704251385"/>
    <n v="0.97961494903737256"/>
    <n v="479469"/>
    <n v="2.7624309392265192E-2"/>
    <n v="0"/>
    <n v="0.89250643505894112"/>
    <n v="1"/>
    <s v="Moderate"/>
  </r>
  <r>
    <s v="PO1466"/>
    <s v="V001"/>
    <x v="2"/>
    <s v="Capacitor"/>
    <x v="7"/>
    <n v="3922"/>
    <n v="3764"/>
    <d v="2026-10-03T00:00:00"/>
    <d v="2026-10-02T00:00:00"/>
    <n v="42"/>
    <n v="129"/>
    <n v="-1"/>
    <n v="1"/>
    <n v="0.95971443141254464"/>
    <n v="0.98884165781083955"/>
    <n v="485556"/>
    <n v="3.875968992248062E-2"/>
    <n v="0"/>
    <n v="0.89247135261800881"/>
    <n v="1"/>
    <s v="Moderate"/>
  </r>
  <r>
    <s v="PO1264"/>
    <s v="V005"/>
    <x v="3"/>
    <s v="Connector"/>
    <x v="8"/>
    <n v="3493"/>
    <n v="3431"/>
    <d v="2026-09-20T00:00:00"/>
    <d v="2026-09-19T00:00:00"/>
    <n v="70"/>
    <n v="237"/>
    <n v="-1"/>
    <n v="1"/>
    <n v="0.98225021471514462"/>
    <n v="0.97959778490236082"/>
    <n v="813147"/>
    <n v="2.1097046413502109E-2"/>
    <n v="0"/>
    <n v="0.89243908305508735"/>
    <n v="1"/>
    <s v="Moderate"/>
  </r>
  <r>
    <s v="PO1493"/>
    <s v="V002"/>
    <x v="8"/>
    <s v="Connector"/>
    <x v="11"/>
    <n v="332"/>
    <n v="331"/>
    <d v="2026-03-08T00:00:00"/>
    <d v="2026-03-07T00:00:00"/>
    <n v="11"/>
    <n v="169"/>
    <n v="-1"/>
    <n v="1"/>
    <n v="0.99698795180722888"/>
    <n v="0.96676737160120851"/>
    <n v="55939"/>
    <n v="2.9585798816568046E-2"/>
    <n v="0"/>
    <n v="0.89238638172346518"/>
    <n v="1"/>
    <s v="Moderate"/>
  </r>
  <r>
    <s v="PO1096"/>
    <s v="V002"/>
    <x v="8"/>
    <s v="IC"/>
    <x v="11"/>
    <n v="1807"/>
    <n v="1803"/>
    <d v="2026-03-24T00:00:00"/>
    <d v="2026-03-24T00:00:00"/>
    <n v="56"/>
    <n v="243"/>
    <n v="0"/>
    <n v="1"/>
    <n v="0.99778638627559491"/>
    <n v="0.96894065446478095"/>
    <n v="438129"/>
    <n v="2.0576131687242798E-2"/>
    <n v="0"/>
    <n v="0.89229708676327757"/>
    <n v="1"/>
    <s v="Moderate"/>
  </r>
  <r>
    <s v="PO1225"/>
    <s v="V008"/>
    <x v="4"/>
    <s v="Capacitor"/>
    <x v="7"/>
    <n v="4302"/>
    <n v="4241"/>
    <d v="2026-10-26T00:00:00"/>
    <d v="2026-10-25T00:00:00"/>
    <n v="214"/>
    <n v="49"/>
    <n v="-1"/>
    <n v="1"/>
    <n v="0.98582054858205481"/>
    <n v="0.94954020278236262"/>
    <n v="207809"/>
    <n v="0.10204081632653061"/>
    <n v="0"/>
    <n v="0.89223025218377283"/>
    <n v="1"/>
    <s v="Moderate"/>
  </r>
  <r>
    <s v="PO1389"/>
    <s v="V003"/>
    <x v="6"/>
    <s v="IC"/>
    <x v="9"/>
    <n v="3682"/>
    <n v="3646"/>
    <d v="2026-08-12T00:00:00"/>
    <d v="2026-08-11T00:00:00"/>
    <n v="220"/>
    <n v="41"/>
    <n v="-1"/>
    <n v="1"/>
    <n v="0.99022270505160237"/>
    <n v="0.93965990126165666"/>
    <n v="149486"/>
    <n v="0.12195121951219512"/>
    <n v="0"/>
    <n v="0.89213763334003704"/>
    <n v="1"/>
    <s v="Moderate"/>
  </r>
  <r>
    <s v="PO1059"/>
    <s v="V002"/>
    <x v="8"/>
    <s v="Capacitor"/>
    <x v="6"/>
    <n v="2366"/>
    <n v="2206"/>
    <d v="2026-06-21T00:00:00"/>
    <d v="2026-06-20T00:00:00"/>
    <n v="70"/>
    <n v="33"/>
    <n v="-1"/>
    <n v="1"/>
    <n v="0.93237531699070164"/>
    <n v="0.96826835902085218"/>
    <n v="72798"/>
    <n v="0.15151515151515152"/>
    <n v="0"/>
    <n v="0.89210708625591117"/>
    <n v="1"/>
    <s v="Moderate"/>
  </r>
  <r>
    <s v="PO1405"/>
    <s v="V010"/>
    <x v="0"/>
    <s v="Capacitor"/>
    <x v="6"/>
    <n v="1585"/>
    <n v="1537"/>
    <d v="2026-06-23T00:00:00"/>
    <d v="2026-06-21T00:00:00"/>
    <n v="20"/>
    <n v="248"/>
    <n v="-2"/>
    <n v="1"/>
    <n v="0.96971608832807576"/>
    <n v="0.9869876382563435"/>
    <n v="381176"/>
    <n v="2.0161290322580645E-2"/>
    <n v="0"/>
    <n v="0.8920556381747764"/>
    <n v="1"/>
    <s v="Moderate"/>
  </r>
  <r>
    <s v="PO1448"/>
    <s v="V010"/>
    <x v="0"/>
    <s v="IC"/>
    <x v="7"/>
    <n v="324"/>
    <n v="313"/>
    <d v="2026-10-18T00:00:00"/>
    <d v="2026-10-17T00:00:00"/>
    <n v="4"/>
    <n v="189"/>
    <n v="-1"/>
    <n v="1"/>
    <n v="0.96604938271604934"/>
    <n v="0.98722044728434499"/>
    <n v="59157"/>
    <n v="2.6455026455026454E-2"/>
    <n v="0"/>
    <n v="0.89202151337401603"/>
    <n v="1"/>
    <s v="Moderate"/>
  </r>
  <r>
    <s v="PO1057"/>
    <s v="V002"/>
    <x v="8"/>
    <s v="IC"/>
    <x v="7"/>
    <n v="2551"/>
    <n v="2532"/>
    <d v="2026-10-13T00:00:00"/>
    <d v="2026-10-11T00:00:00"/>
    <n v="76"/>
    <n v="209"/>
    <n v="-2"/>
    <n v="1"/>
    <n v="0.9925519404155233"/>
    <n v="0.96998420221169035"/>
    <n v="529188"/>
    <n v="2.3923444976076555E-2"/>
    <n v="0"/>
    <n v="0.89189799324421937"/>
    <n v="1"/>
    <s v="Moderate"/>
  </r>
  <r>
    <s v="PO1236"/>
    <s v="V001"/>
    <x v="2"/>
    <s v="Connector"/>
    <x v="4"/>
    <n v="2178"/>
    <n v="2030"/>
    <d v="2026-11-01T00:00:00"/>
    <d v="2026-11-01T00:00:00"/>
    <n v="21"/>
    <n v="59"/>
    <n v="0"/>
    <n v="1"/>
    <n v="0.93204775022956843"/>
    <n v="0.98965517241379308"/>
    <n v="119770"/>
    <n v="8.4745762711864403E-2"/>
    <n v="0"/>
    <n v="0.89178067804123806"/>
    <n v="1"/>
    <s v="Moderate"/>
  </r>
  <r>
    <s v="PO1055"/>
    <s v="V010"/>
    <x v="0"/>
    <s v="Connector"/>
    <x v="4"/>
    <n v="2801"/>
    <n v="2624"/>
    <d v="2026-11-01T00:00:00"/>
    <d v="2026-10-30T00:00:00"/>
    <n v="32"/>
    <n v="62"/>
    <n v="-2"/>
    <n v="1"/>
    <n v="0.93680828275615846"/>
    <n v="0.98780487804878048"/>
    <n v="162688"/>
    <n v="8.0645161290322578E-2"/>
    <n v="0"/>
    <n v="0.89176763609489806"/>
    <n v="1"/>
    <s v="Moderate"/>
  </r>
  <r>
    <s v="PO1162"/>
    <s v="V008"/>
    <x v="4"/>
    <s v="PCB"/>
    <x v="9"/>
    <n v="1464"/>
    <n v="1461"/>
    <d v="2026-08-22T00:00:00"/>
    <d v="2026-08-20T00:00:00"/>
    <n v="74"/>
    <n v="69"/>
    <n v="-2"/>
    <n v="1"/>
    <n v="0.99795081967213117"/>
    <n v="0.94934976043805608"/>
    <n v="100809"/>
    <n v="7.2463768115942032E-2"/>
    <n v="0"/>
    <n v="0.89164146887743723"/>
    <n v="1"/>
    <s v="Moderate"/>
  </r>
  <r>
    <s v="PO1240"/>
    <s v="V001"/>
    <x v="2"/>
    <s v="PCB"/>
    <x v="9"/>
    <n v="3502"/>
    <n v="3370"/>
    <d v="2026-08-26T00:00:00"/>
    <d v="2026-08-25T00:00:00"/>
    <n v="37"/>
    <n v="216"/>
    <n v="-1"/>
    <n v="1"/>
    <n v="0.96230725299828668"/>
    <n v="0.9890207715133531"/>
    <n v="727920"/>
    <n v="2.3148148148148147E-2"/>
    <n v="0"/>
    <n v="0.89148249686847814"/>
    <n v="1"/>
    <s v="Moderate"/>
  </r>
  <r>
    <s v="PO1492"/>
    <s v="V002"/>
    <x v="8"/>
    <s v="IC"/>
    <x v="7"/>
    <n v="4433"/>
    <n v="4401"/>
    <d v="2026-10-25T00:00:00"/>
    <d v="2026-10-23T00:00:00"/>
    <n v="136"/>
    <n v="229"/>
    <n v="-2"/>
    <n v="1"/>
    <n v="0.99278141213625082"/>
    <n v="0.96909793228811636"/>
    <n v="1007829"/>
    <n v="2.1834061135371178E-2"/>
    <n v="0"/>
    <n v="0.89146906822722216"/>
    <n v="1"/>
    <s v="Moderate"/>
  </r>
  <r>
    <s v="PO1415"/>
    <s v="V001"/>
    <x v="2"/>
    <s v="PCB"/>
    <x v="7"/>
    <n v="1770"/>
    <n v="1638"/>
    <d v="2026-10-08T00:00:00"/>
    <d v="2026-10-06T00:00:00"/>
    <n v="18"/>
    <n v="52"/>
    <n v="-2"/>
    <n v="1"/>
    <n v="0.92542372881355928"/>
    <n v="0.98901098901098905"/>
    <n v="85176"/>
    <n v="9.6153846153846159E-2"/>
    <n v="0"/>
    <n v="0.89140342708139308"/>
    <n v="1"/>
    <s v="Moderate"/>
  </r>
  <r>
    <s v="PO1035"/>
    <s v="V002"/>
    <x v="8"/>
    <s v="IC"/>
    <x v="2"/>
    <n v="4801"/>
    <n v="4761"/>
    <d v="2026-05-30T00:00:00"/>
    <d v="2026-05-28T00:00:00"/>
    <n v="146"/>
    <n v="244"/>
    <n v="-2"/>
    <n v="1"/>
    <n v="0.99166840241616327"/>
    <n v="0.96933417349296369"/>
    <n v="1161684"/>
    <n v="2.0491803278688523E-2"/>
    <n v="0"/>
    <n v="0.89118311285899054"/>
    <n v="1"/>
    <s v="Moderate"/>
  </r>
  <r>
    <s v="PO1127"/>
    <s v="V010"/>
    <x v="0"/>
    <s v="Connector"/>
    <x v="0"/>
    <n v="4067"/>
    <n v="3901"/>
    <d v="2026-12-12T00:00:00"/>
    <d v="2026-12-12T00:00:00"/>
    <n v="40"/>
    <n v="212"/>
    <n v="0"/>
    <n v="1"/>
    <n v="0.95918367346938771"/>
    <n v="0.98974621891822612"/>
    <n v="827012"/>
    <n v="2.358490566037736E-2"/>
    <n v="0"/>
    <n v="0.89111909093538311"/>
    <n v="1"/>
    <s v="Moderate"/>
  </r>
  <r>
    <s v="PO1213"/>
    <s v="V005"/>
    <x v="3"/>
    <s v="Connector"/>
    <x v="10"/>
    <n v="808"/>
    <n v="751"/>
    <d v="2026-02-03T00:00:00"/>
    <d v="2026-02-02T00:00:00"/>
    <n v="20"/>
    <n v="38"/>
    <n v="-1"/>
    <n v="1"/>
    <n v="0.9294554455445545"/>
    <n v="0.97336884154460723"/>
    <n v="28538"/>
    <n v="0.13157894736842105"/>
    <n v="0"/>
    <n v="0.89105963630913532"/>
    <n v="1"/>
    <s v="Moderate"/>
  </r>
  <r>
    <s v="PO1374"/>
    <s v="V007"/>
    <x v="5"/>
    <s v="Capacitor"/>
    <x v="9"/>
    <n v="4036"/>
    <n v="4012"/>
    <d v="2026-08-06T00:00:00"/>
    <d v="2026-08-06T00:00:00"/>
    <n v="163"/>
    <n v="116"/>
    <n v="0"/>
    <n v="1"/>
    <n v="0.99405351833498512"/>
    <n v="0.95937188434695908"/>
    <n v="465392"/>
    <n v="4.3103448275862072E-2"/>
    <n v="0"/>
    <n v="0.89093261379867095"/>
    <n v="1"/>
    <s v="Moderate"/>
  </r>
  <r>
    <s v="PO1017"/>
    <s v="V005"/>
    <x v="3"/>
    <s v="Capacitor"/>
    <x v="2"/>
    <n v="1016"/>
    <n v="978"/>
    <d v="2026-05-12T00:00:00"/>
    <d v="2026-05-11T00:00:00"/>
    <n v="20"/>
    <n v="111"/>
    <n v="-1"/>
    <n v="1"/>
    <n v="0.96259842519685035"/>
    <n v="0.9795501022494888"/>
    <n v="108558"/>
    <n v="4.5045045045045043E-2"/>
    <n v="0"/>
    <n v="0.89088922021872119"/>
    <n v="1"/>
    <s v="Moderate"/>
  </r>
  <r>
    <s v="PO1276"/>
    <s v="V001"/>
    <x v="2"/>
    <s v="PCB"/>
    <x v="9"/>
    <n v="1005"/>
    <n v="968"/>
    <d v="2026-08-14T00:00:00"/>
    <d v="2026-08-14T00:00:00"/>
    <n v="14"/>
    <n v="197"/>
    <n v="0"/>
    <n v="1"/>
    <n v="0.96318407960199004"/>
    <n v="0.98553719008264462"/>
    <n v="190696"/>
    <n v="2.5380710659898477E-2"/>
    <n v="0"/>
    <n v="0.89083604401118133"/>
    <n v="1"/>
    <s v="Moderate"/>
  </r>
  <r>
    <s v="PO1022"/>
    <s v="V002"/>
    <x v="8"/>
    <s v="IC"/>
    <x v="0"/>
    <n v="1098"/>
    <n v="1062"/>
    <d v="2026-12-20T00:00:00"/>
    <d v="2026-12-20T00:00:00"/>
    <n v="36"/>
    <n v="67"/>
    <n v="0"/>
    <n v="1"/>
    <n v="0.96721311475409832"/>
    <n v="0.96610169491525422"/>
    <n v="71154"/>
    <n v="7.4626865671641784E-2"/>
    <n v="0"/>
    <n v="0.89073581799256019"/>
    <n v="1"/>
    <s v="Moderate"/>
  </r>
  <r>
    <s v="PO1109"/>
    <s v="V010"/>
    <x v="0"/>
    <s v="Capacitor"/>
    <x v="0"/>
    <n v="4894"/>
    <n v="4588"/>
    <d v="2026-12-31T00:00:00"/>
    <d v="2026-12-30T00:00:00"/>
    <n v="48"/>
    <n v="79"/>
    <n v="-1"/>
    <n v="1"/>
    <n v="0.93747445852063749"/>
    <n v="0.98953792502179594"/>
    <n v="362452"/>
    <n v="6.3291139240506333E-2"/>
    <n v="0"/>
    <n v="0.89068538313471701"/>
    <n v="1"/>
    <s v="Moderate"/>
  </r>
  <r>
    <s v="PO1312"/>
    <s v="V007"/>
    <x v="5"/>
    <s v="PCB"/>
    <x v="0"/>
    <n v="3540"/>
    <n v="3462"/>
    <d v="2026-12-04T00:00:00"/>
    <d v="2026-12-02T00:00:00"/>
    <n v="143"/>
    <n v="67"/>
    <n v="-2"/>
    <n v="1"/>
    <n v="0.97796610169491527"/>
    <n v="0.95869439630271525"/>
    <n v="231954"/>
    <n v="7.4626865671641784E-2"/>
    <n v="0"/>
    <n v="0.89066422579696192"/>
    <n v="1"/>
    <s v="Moderate"/>
  </r>
  <r>
    <s v="PO1062"/>
    <s v="V005"/>
    <x v="3"/>
    <s v="PCB"/>
    <x v="11"/>
    <n v="2890"/>
    <n v="2800"/>
    <d v="2026-03-21T00:00:00"/>
    <d v="2026-03-20T00:00:00"/>
    <n v="58"/>
    <n v="163"/>
    <n v="-1"/>
    <n v="1"/>
    <n v="0.96885813148788924"/>
    <n v="0.97928571428571431"/>
    <n v="456400"/>
    <n v="3.0674846625766871E-2"/>
    <n v="0"/>
    <n v="0.89062482524586872"/>
    <n v="1"/>
    <s v="Moderate"/>
  </r>
  <r>
    <s v="PO1484"/>
    <s v="V002"/>
    <x v="8"/>
    <s v="IC"/>
    <x v="10"/>
    <n v="4713"/>
    <n v="4629"/>
    <d v="2026-02-06T00:00:00"/>
    <d v="2026-02-05T00:00:00"/>
    <n v="142"/>
    <n v="150"/>
    <n v="-1"/>
    <n v="1"/>
    <n v="0.98217695735200505"/>
    <n v="0.96932382804061357"/>
    <n v="694350"/>
    <n v="3.3333333333333333E-2"/>
    <n v="0"/>
    <n v="0.8905658732159184"/>
    <n v="1"/>
    <s v="Moderate"/>
  </r>
  <r>
    <s v="PO1381"/>
    <s v="V005"/>
    <x v="3"/>
    <s v="Connector"/>
    <x v="3"/>
    <n v="3012"/>
    <n v="2936"/>
    <d v="2026-01-09T00:00:00"/>
    <d v="2026-01-09T00:00:00"/>
    <n v="63"/>
    <n v="244"/>
    <n v="0"/>
    <n v="1"/>
    <n v="0.97476759628154053"/>
    <n v="0.97854223433242504"/>
    <n v="716384"/>
    <n v="2.0491803278688523E-2"/>
    <n v="0"/>
    <n v="0.89056536988390445"/>
    <n v="1"/>
    <s v="Moderate"/>
  </r>
  <r>
    <s v="PO1244"/>
    <s v="V007"/>
    <x v="5"/>
    <s v="PCB"/>
    <x v="9"/>
    <n v="3824"/>
    <n v="3811"/>
    <d v="2026-08-11T00:00:00"/>
    <d v="2026-08-09T00:00:00"/>
    <n v="158"/>
    <n v="147"/>
    <n v="-2"/>
    <n v="1"/>
    <n v="0.99660041841004188"/>
    <n v="0.95854106533718186"/>
    <n v="560217"/>
    <n v="3.4013605442176874E-2"/>
    <n v="0"/>
    <n v="0.89028376382738061"/>
    <n v="1"/>
    <s v="Moderate"/>
  </r>
  <r>
    <s v="PO1304"/>
    <s v="V005"/>
    <x v="3"/>
    <s v="IC"/>
    <x v="5"/>
    <n v="1577"/>
    <n v="1523"/>
    <d v="2026-04-05T00:00:00"/>
    <d v="2026-04-05T00:00:00"/>
    <n v="34"/>
    <n v="132"/>
    <n v="0"/>
    <n v="1"/>
    <n v="0.96575776791376033"/>
    <n v="0.97767564018384767"/>
    <n v="201036"/>
    <n v="3.787878787878788E-2"/>
    <n v="0"/>
    <n v="0.89024212442578521"/>
    <n v="1"/>
    <s v="Moderate"/>
  </r>
  <r>
    <s v="PO1322"/>
    <s v="V005"/>
    <x v="3"/>
    <s v="PCB"/>
    <x v="1"/>
    <n v="1816"/>
    <n v="1765"/>
    <d v="2026-07-11T00:00:00"/>
    <d v="2026-07-11T00:00:00"/>
    <n v="38"/>
    <n v="235"/>
    <n v="0"/>
    <n v="1"/>
    <n v="0.97191629955947134"/>
    <n v="0.97847025495750706"/>
    <n v="414775"/>
    <n v="2.1276595744680851E-2"/>
    <n v="0"/>
    <n v="0.8900519959736144"/>
    <n v="1"/>
    <s v="Moderate"/>
  </r>
  <r>
    <s v="PO1438"/>
    <s v="V005"/>
    <x v="3"/>
    <s v="PCB"/>
    <x v="1"/>
    <n v="3169"/>
    <n v="3074"/>
    <d v="2026-07-01T00:00:00"/>
    <d v="2026-07-01T00:00:00"/>
    <n v="64"/>
    <n v="219"/>
    <n v="0"/>
    <n v="1"/>
    <n v="0.97002208898706221"/>
    <n v="0.97918022121014969"/>
    <n v="673206"/>
    <n v="2.2831050228310501E-2"/>
    <n v="0"/>
    <n v="0.89004158918328835"/>
    <n v="1"/>
    <s v="Moderate"/>
  </r>
  <r>
    <s v="PO1002"/>
    <s v="V007"/>
    <x v="5"/>
    <s v="Connector"/>
    <x v="1"/>
    <n v="1540"/>
    <n v="1523"/>
    <d v="2026-07-18T00:00:00"/>
    <d v="2026-07-17T00:00:00"/>
    <n v="64"/>
    <n v="104"/>
    <n v="-1"/>
    <n v="1"/>
    <n v="0.98896103896103893"/>
    <n v="0.95797767564018388"/>
    <n v="158392"/>
    <n v="4.807692307692308E-2"/>
    <n v="0"/>
    <n v="0.88999320279195526"/>
    <n v="1"/>
    <s v="Moderate"/>
  </r>
  <r>
    <s v="PO1145"/>
    <s v="V006"/>
    <x v="9"/>
    <s v="Connector"/>
    <x v="3"/>
    <n v="1904"/>
    <n v="1755"/>
    <d v="2026-01-17T00:00:00"/>
    <d v="2026-01-15T00:00:00"/>
    <n v="211"/>
    <n v="12"/>
    <n v="-2"/>
    <n v="1"/>
    <n v="0.92174369747899154"/>
    <n v="0.87977207977207972"/>
    <n v="21060"/>
    <n v="0.41666666666666669"/>
    <n v="0"/>
    <n v="0.88994703009408893"/>
    <n v="1"/>
    <s v="Moderate"/>
  </r>
  <r>
    <s v="PO1348"/>
    <s v="V001"/>
    <x v="2"/>
    <s v="IC"/>
    <x v="4"/>
    <n v="332"/>
    <n v="313"/>
    <d v="2026-11-19T00:00:00"/>
    <d v="2026-11-17T00:00:00"/>
    <n v="5"/>
    <n v="83"/>
    <n v="-2"/>
    <n v="1"/>
    <n v="0.94277108433734935"/>
    <n v="0.98402555910543132"/>
    <n v="25979"/>
    <n v="6.0240963855421686E-2"/>
    <n v="0"/>
    <n v="0.88978598098464146"/>
    <n v="1"/>
    <s v="Moderate"/>
  </r>
  <r>
    <s v="PO1455"/>
    <s v="V001"/>
    <x v="2"/>
    <s v="Connector"/>
    <x v="1"/>
    <n v="1521"/>
    <n v="1447"/>
    <d v="2026-07-07T00:00:00"/>
    <d v="2026-07-06T00:00:00"/>
    <n v="16"/>
    <n v="179"/>
    <n v="-1"/>
    <n v="1"/>
    <n v="0.95134779750164367"/>
    <n v="0.98894263994471321"/>
    <n v="259013"/>
    <n v="2.7932960893854747E-2"/>
    <n v="0"/>
    <n v="0.88974564757312824"/>
    <n v="1"/>
    <s v="Moderate"/>
  </r>
  <r>
    <s v="PO1030"/>
    <s v="V004"/>
    <x v="1"/>
    <s v="Capacitor"/>
    <x v="1"/>
    <n v="3257"/>
    <n v="3225"/>
    <d v="2026-07-20T00:00:00"/>
    <d v="2026-07-18T00:00:00"/>
    <n v="296"/>
    <n v="26"/>
    <n v="-2"/>
    <n v="1"/>
    <n v="0.99017500767577526"/>
    <n v="0.90821705426356591"/>
    <n v="83850"/>
    <n v="0.19230769230769232"/>
    <n v="0"/>
    <n v="0.88973088704499415"/>
    <n v="1"/>
    <s v="Moderate"/>
  </r>
  <r>
    <s v="PO1056"/>
    <s v="V008"/>
    <x v="4"/>
    <s v="IC"/>
    <x v="7"/>
    <n v="964"/>
    <n v="921"/>
    <d v="2026-10-12T00:00:00"/>
    <d v="2026-10-11T00:00:00"/>
    <n v="48"/>
    <n v="35"/>
    <n v="-1"/>
    <n v="1"/>
    <n v="0.95539419087136934"/>
    <n v="0.94788273615635177"/>
    <n v="32235"/>
    <n v="0.14285714285714285"/>
    <n v="0"/>
    <n v="0.88972937330689361"/>
    <n v="1"/>
    <s v="Moderate"/>
  </r>
  <r>
    <s v="PO1462"/>
    <s v="V010"/>
    <x v="0"/>
    <s v="IC"/>
    <x v="6"/>
    <n v="2454"/>
    <n v="2325"/>
    <d v="2026-06-27T00:00:00"/>
    <d v="2026-06-27T00:00:00"/>
    <n v="25"/>
    <n v="156"/>
    <n v="0"/>
    <n v="1"/>
    <n v="0.94743276283618583"/>
    <n v="0.989247311827957"/>
    <n v="362700"/>
    <n v="3.2051282051282048E-2"/>
    <n v="0"/>
    <n v="0.88946587432075241"/>
    <n v="1"/>
    <s v="Moderate"/>
  </r>
  <r>
    <s v="PO1118"/>
    <s v="V005"/>
    <x v="3"/>
    <s v="PCB"/>
    <x v="9"/>
    <n v="2902"/>
    <n v="2706"/>
    <d v="2026-08-02T00:00:00"/>
    <d v="2026-07-31T00:00:00"/>
    <n v="56"/>
    <n v="55"/>
    <n v="-2"/>
    <n v="1"/>
    <n v="0.93246037215713307"/>
    <n v="0.97930524759793047"/>
    <n v="148830"/>
    <n v="9.0909090909090912E-2"/>
    <n v="0"/>
    <n v="0.88937455780171493"/>
    <n v="1"/>
    <s v="Moderate"/>
  </r>
  <r>
    <s v="PO1164"/>
    <s v="V002"/>
    <x v="8"/>
    <s v="PCB"/>
    <x v="5"/>
    <n v="2374"/>
    <n v="2279"/>
    <d v="2026-04-06T00:00:00"/>
    <d v="2026-04-05T00:00:00"/>
    <n v="70"/>
    <n v="77"/>
    <n v="-1"/>
    <n v="1"/>
    <n v="0.95998315080033703"/>
    <n v="0.96928477402369462"/>
    <n v="175483"/>
    <n v="6.4935064935064929E-2"/>
    <n v="0"/>
    <n v="0.88927556886068226"/>
    <n v="1"/>
    <s v="Moderate"/>
  </r>
  <r>
    <s v="PO1450"/>
    <s v="V001"/>
    <x v="2"/>
    <s v="PCB"/>
    <x v="10"/>
    <n v="4679"/>
    <n v="4442"/>
    <d v="2026-02-13T00:00:00"/>
    <d v="2026-02-11T00:00:00"/>
    <n v="49"/>
    <n v="189"/>
    <n v="-2"/>
    <n v="1"/>
    <n v="0.94934815131438344"/>
    <n v="0.98896893291310217"/>
    <n v="839538"/>
    <n v="2.6455026455026454E-2"/>
    <n v="0"/>
    <n v="0.88920581278231015"/>
    <n v="1"/>
    <s v="Moderate"/>
  </r>
  <r>
    <s v="PO1155"/>
    <s v="V007"/>
    <x v="5"/>
    <s v="Capacitor"/>
    <x v="10"/>
    <n v="4639"/>
    <n v="4594"/>
    <d v="2026-02-25T00:00:00"/>
    <d v="2026-02-23T00:00:00"/>
    <n v="184"/>
    <n v="170"/>
    <n v="-2"/>
    <n v="1"/>
    <n v="0.99029963354171158"/>
    <n v="0.95994775794514586"/>
    <n v="780980"/>
    <n v="2.9411764705882353E-2"/>
    <n v="0"/>
    <n v="0.88898543056247425"/>
    <n v="1"/>
    <s v="Moderate"/>
  </r>
  <r>
    <s v="PO1138"/>
    <s v="V001"/>
    <x v="2"/>
    <s v="Capacitor"/>
    <x v="5"/>
    <n v="4430"/>
    <n v="4212"/>
    <d v="2026-04-30T00:00:00"/>
    <d v="2026-04-28T00:00:00"/>
    <n v="48"/>
    <n v="225"/>
    <n v="-2"/>
    <n v="1"/>
    <n v="0.95079006772009034"/>
    <n v="0.98860398860398857"/>
    <n v="947700"/>
    <n v="2.2222222222222223E-2"/>
    <n v="0"/>
    <n v="0.88896143234743685"/>
    <n v="1"/>
    <s v="Moderate"/>
  </r>
  <r>
    <s v="PO1149"/>
    <s v="V010"/>
    <x v="0"/>
    <s v="Connector"/>
    <x v="7"/>
    <n v="3868"/>
    <n v="3672"/>
    <d v="2026-10-03T00:00:00"/>
    <d v="2026-10-03T00:00:00"/>
    <n v="40"/>
    <n v="218"/>
    <n v="0"/>
    <n v="1"/>
    <n v="0.94932781799379529"/>
    <n v="0.98910675381263613"/>
    <n v="800496"/>
    <n v="2.2935779816513763E-2"/>
    <n v="0"/>
    <n v="0.88889116772420129"/>
    <n v="1"/>
    <s v="Moderate"/>
  </r>
  <r>
    <s v="PO1437"/>
    <s v="V001"/>
    <x v="2"/>
    <s v="Capacitor"/>
    <x v="1"/>
    <n v="2529"/>
    <n v="2388"/>
    <d v="2026-07-25T00:00:00"/>
    <d v="2026-07-25T00:00:00"/>
    <n v="25"/>
    <n v="158"/>
    <n v="0"/>
    <n v="1"/>
    <n v="0.94424673784104385"/>
    <n v="0.98953098827470687"/>
    <n v="377304"/>
    <n v="3.1645569620253167E-2"/>
    <n v="0"/>
    <n v="0.88887320101264622"/>
    <n v="1"/>
    <s v="Moderate"/>
  </r>
  <r>
    <s v="PO1103"/>
    <s v="V009"/>
    <x v="7"/>
    <s v="IC"/>
    <x v="11"/>
    <n v="1615"/>
    <n v="1591"/>
    <d v="2026-03-05T00:00:00"/>
    <d v="2026-03-03T00:00:00"/>
    <n v="117"/>
    <n v="36"/>
    <n v="-2"/>
    <n v="1"/>
    <n v="0.98513931888544892"/>
    <n v="0.9264613450659962"/>
    <n v="57276"/>
    <n v="0.1388888888888889"/>
    <n v="0"/>
    <n v="0.88885515618577748"/>
    <n v="1"/>
    <s v="Moderate"/>
  </r>
  <r>
    <s v="PO1013"/>
    <s v="V010"/>
    <x v="0"/>
    <s v="IC"/>
    <x v="4"/>
    <n v="4435"/>
    <n v="4174"/>
    <d v="2026-11-07T00:00:00"/>
    <d v="2026-11-05T00:00:00"/>
    <n v="43"/>
    <n v="135"/>
    <n v="-2"/>
    <n v="1"/>
    <n v="0.9411499436302142"/>
    <n v="0.98969813128893147"/>
    <n v="563490"/>
    <n v="3.7037037037037035E-2"/>
    <n v="0"/>
    <n v="0.88884313181642594"/>
    <n v="1"/>
    <s v="Moderate"/>
  </r>
  <r>
    <s v="PO1428"/>
    <s v="V005"/>
    <x v="3"/>
    <s v="Connector"/>
    <x v="0"/>
    <n v="3341"/>
    <n v="3101"/>
    <d v="2026-12-04T00:00:00"/>
    <d v="2026-12-04T00:00:00"/>
    <n v="65"/>
    <n v="53"/>
    <n v="0"/>
    <n v="1"/>
    <n v="0.9281652199940138"/>
    <n v="0.97903901967107387"/>
    <n v="164353"/>
    <n v="9.4339622641509441E-2"/>
    <n v="0"/>
    <n v="0.88877871216427595"/>
    <n v="1"/>
    <s v="Moderate"/>
  </r>
  <r>
    <s v="PO1263"/>
    <s v="V002"/>
    <x v="8"/>
    <s v="PCB"/>
    <x v="8"/>
    <n v="4013"/>
    <n v="3862"/>
    <d v="2026-09-16T00:00:00"/>
    <d v="2026-09-14T00:00:00"/>
    <n v="120"/>
    <n v="89"/>
    <n v="-2"/>
    <n v="1"/>
    <n v="0.96237229005731373"/>
    <n v="0.96892801657172445"/>
    <n v="343718"/>
    <n v="5.6179775280898875E-2"/>
    <n v="0"/>
    <n v="0.88877084051107003"/>
    <n v="1"/>
    <s v="Moderate"/>
  </r>
  <r>
    <s v="PO1349"/>
    <s v="V002"/>
    <x v="8"/>
    <s v="Connector"/>
    <x v="11"/>
    <n v="4658"/>
    <n v="4533"/>
    <d v="2026-03-04T00:00:00"/>
    <d v="2026-03-02T00:00:00"/>
    <n v="138"/>
    <n v="153"/>
    <n v="-2"/>
    <n v="1"/>
    <n v="0.97316444826105619"/>
    <n v="0.96955658504301789"/>
    <n v="693549"/>
    <n v="3.2679738562091505E-2"/>
    <n v="0"/>
    <n v="0.88876783902132572"/>
    <n v="1"/>
    <s v="Moderate"/>
  </r>
  <r>
    <s v="PO1183"/>
    <s v="V007"/>
    <x v="5"/>
    <s v="Capacitor"/>
    <x v="2"/>
    <n v="1368"/>
    <n v="1350"/>
    <d v="2026-05-17T00:00:00"/>
    <d v="2026-05-16T00:00:00"/>
    <n v="59"/>
    <n v="113"/>
    <n v="-1"/>
    <n v="1"/>
    <n v="0.98684210526315785"/>
    <n v="0.95629629629629631"/>
    <n v="152550"/>
    <n v="4.4247787610619468E-2"/>
    <n v="0"/>
    <n v="0.88868208870258247"/>
    <n v="1"/>
    <s v="Moderate"/>
  </r>
  <r>
    <s v="PO1106"/>
    <s v="V005"/>
    <x v="3"/>
    <s v="PCB"/>
    <x v="4"/>
    <n v="2816"/>
    <n v="2700"/>
    <d v="2026-11-01T00:00:00"/>
    <d v="2026-10-31T00:00:00"/>
    <n v="55"/>
    <n v="169"/>
    <n v="-1"/>
    <n v="1"/>
    <n v="0.95880681818181823"/>
    <n v="0.97962962962962963"/>
    <n v="456300"/>
    <n v="2.9585798816568046E-2"/>
    <n v="0"/>
    <n v="0.88860883240690935"/>
    <n v="1"/>
    <s v="Moderate"/>
  </r>
  <r>
    <s v="PO1299"/>
    <s v="V005"/>
    <x v="3"/>
    <s v="Connector"/>
    <x v="3"/>
    <n v="1757"/>
    <n v="1687"/>
    <d v="2026-01-23T00:00:00"/>
    <d v="2026-01-23T00:00:00"/>
    <n v="38"/>
    <n v="161"/>
    <n v="0"/>
    <n v="1"/>
    <n v="0.96015936254980083"/>
    <n v="0.97747480735032599"/>
    <n v="271607"/>
    <n v="3.1055900621118012E-2"/>
    <n v="0"/>
    <n v="0.88837990477716966"/>
    <n v="1"/>
    <s v="Moderate"/>
  </r>
  <r>
    <s v="PO1095"/>
    <s v="V007"/>
    <x v="5"/>
    <s v="IC"/>
    <x v="3"/>
    <n v="1871"/>
    <n v="1856"/>
    <d v="2026-01-25T00:00:00"/>
    <d v="2026-01-25T00:00:00"/>
    <n v="78"/>
    <n v="214"/>
    <n v="0"/>
    <n v="1"/>
    <n v="0.99198289684660612"/>
    <n v="0.95797413793103448"/>
    <n v="397184"/>
    <n v="2.336448598130841E-2"/>
    <n v="0"/>
    <n v="0.88812526934676239"/>
    <n v="1"/>
    <s v="Moderate"/>
  </r>
  <r>
    <s v="PO1479"/>
    <s v="V007"/>
    <x v="5"/>
    <s v="Connector"/>
    <x v="1"/>
    <n v="1151"/>
    <n v="1140"/>
    <d v="2026-07-19T00:00:00"/>
    <d v="2026-07-18T00:00:00"/>
    <n v="50"/>
    <n v="165"/>
    <n v="-1"/>
    <n v="1"/>
    <n v="0.99044309296264121"/>
    <n v="0.95614035087719296"/>
    <n v="188100"/>
    <n v="3.0303030303030304E-2"/>
    <n v="0"/>
    <n v="0.88796102688598921"/>
    <n v="1"/>
    <s v="Moderate"/>
  </r>
  <r>
    <s v="PO1008"/>
    <s v="V009"/>
    <x v="7"/>
    <s v="Connector"/>
    <x v="6"/>
    <n v="3527"/>
    <n v="3401"/>
    <d v="2026-06-07T00:00:00"/>
    <d v="2026-06-05T00:00:00"/>
    <n v="240"/>
    <n v="31"/>
    <n v="-2"/>
    <n v="1"/>
    <n v="0.96427558831868443"/>
    <n v="0.92943251984710384"/>
    <n v="105431"/>
    <n v="0.16129032258064516"/>
    <n v="0"/>
    <n v="0.88781390587593256"/>
    <n v="1"/>
    <s v="Moderate"/>
  </r>
  <r>
    <s v="PO1150"/>
    <s v="V008"/>
    <x v="4"/>
    <s v="IC"/>
    <x v="8"/>
    <n v="4746"/>
    <n v="4693"/>
    <d v="2026-09-08T00:00:00"/>
    <d v="2026-09-06T00:00:00"/>
    <n v="236"/>
    <n v="98"/>
    <n v="-2"/>
    <n v="1"/>
    <n v="0.98883270122208178"/>
    <n v="0.94971233752397188"/>
    <n v="459914"/>
    <n v="5.1020408163265307E-2"/>
    <n v="0"/>
    <n v="0.88778228231793443"/>
    <n v="1"/>
    <s v="Moderate"/>
  </r>
  <r>
    <s v="PO1461"/>
    <s v="V005"/>
    <x v="3"/>
    <s v="IC"/>
    <x v="6"/>
    <n v="3326"/>
    <n v="3148"/>
    <d v="2026-06-07T00:00:00"/>
    <d v="2026-06-07T00:00:00"/>
    <n v="67"/>
    <n v="103"/>
    <n v="0"/>
    <n v="1"/>
    <n v="0.94648226097414312"/>
    <n v="0.97871664548919945"/>
    <n v="324244"/>
    <n v="4.8543689320388349E-2"/>
    <n v="0"/>
    <n v="0.88776581477362726"/>
    <n v="1"/>
    <s v="Moderate"/>
  </r>
  <r>
    <s v="PO1147"/>
    <s v="V003"/>
    <x v="6"/>
    <s v="IC"/>
    <x v="7"/>
    <n v="2017"/>
    <n v="1956"/>
    <d v="2026-10-07T00:00:00"/>
    <d v="2026-10-05T00:00:00"/>
    <n v="120"/>
    <n v="41"/>
    <n v="-2"/>
    <n v="1"/>
    <n v="0.96975706494794245"/>
    <n v="0.93865030674846628"/>
    <n v="80196"/>
    <n v="0.12195121951219512"/>
    <n v="0"/>
    <n v="0.88774162696534797"/>
    <n v="1"/>
    <s v="Moderate"/>
  </r>
  <r>
    <s v="PO1315"/>
    <s v="V010"/>
    <x v="0"/>
    <s v="IC"/>
    <x v="11"/>
    <n v="4741"/>
    <n v="4458"/>
    <d v="2026-03-19T00:00:00"/>
    <d v="2026-03-18T00:00:00"/>
    <n v="45"/>
    <n v="185"/>
    <n v="-1"/>
    <n v="1"/>
    <n v="0.94030795190887995"/>
    <n v="0.98990578734858681"/>
    <n v="824730"/>
    <n v="2.7027027027027029E-2"/>
    <n v="0"/>
    <n v="0.8877360292890546"/>
    <n v="1"/>
    <s v="Moderate"/>
  </r>
  <r>
    <s v="PO1351"/>
    <s v="V001"/>
    <x v="2"/>
    <s v="Capacitor"/>
    <x v="6"/>
    <n v="3409"/>
    <n v="3168"/>
    <d v="2026-06-02T00:00:00"/>
    <d v="2026-05-31T00:00:00"/>
    <n v="36"/>
    <n v="95"/>
    <n v="-2"/>
    <n v="1"/>
    <n v="0.92930478146083895"/>
    <n v="0.98863636363636365"/>
    <n v="300960"/>
    <n v="5.2631578947368418E-2"/>
    <n v="0"/>
    <n v="0.88771502327781371"/>
    <n v="1"/>
    <s v="Moderate"/>
  </r>
  <r>
    <s v="PO1495"/>
    <s v="V010"/>
    <x v="0"/>
    <s v="Connector"/>
    <x v="9"/>
    <n v="2436"/>
    <n v="2299"/>
    <d v="2026-08-28T00:00:00"/>
    <d v="2026-08-28T00:00:00"/>
    <n v="26"/>
    <n v="214"/>
    <n v="0"/>
    <n v="1"/>
    <n v="0.94376026272577995"/>
    <n v="0.98869073510221839"/>
    <n v="491986"/>
    <n v="2.336448598130841E-2"/>
    <n v="0"/>
    <n v="0.88769572167395239"/>
    <n v="1"/>
    <s v="Moderate"/>
  </r>
  <r>
    <s v="PO1101"/>
    <s v="V005"/>
    <x v="3"/>
    <s v="Capacitor"/>
    <x v="1"/>
    <n v="4766"/>
    <n v="4567"/>
    <d v="2026-07-23T00:00:00"/>
    <d v="2026-07-23T00:00:00"/>
    <n v="95"/>
    <n v="219"/>
    <n v="0"/>
    <n v="1"/>
    <n v="0.95824590851867397"/>
    <n v="0.97919859864243486"/>
    <n v="1000173"/>
    <n v="2.2831050228310501E-2"/>
    <n v="0"/>
    <n v="0.88769186631929631"/>
    <n v="1"/>
    <s v="Moderate"/>
  </r>
  <r>
    <s v="PO1231"/>
    <s v="V007"/>
    <x v="5"/>
    <s v="IC"/>
    <x v="7"/>
    <n v="3877"/>
    <n v="3823"/>
    <d v="2026-10-18T00:00:00"/>
    <d v="2026-10-16T00:00:00"/>
    <n v="158"/>
    <n v="175"/>
    <n v="-2"/>
    <n v="1"/>
    <n v="0.98607170492648955"/>
    <n v="0.95867120062777922"/>
    <n v="669025"/>
    <n v="2.8571428571428571E-2"/>
    <n v="0"/>
    <n v="0.88767284403077451"/>
    <n v="1"/>
    <s v="Moderate"/>
  </r>
  <r>
    <s v="PO1180"/>
    <s v="V010"/>
    <x v="0"/>
    <s v="PCB"/>
    <x v="7"/>
    <n v="379"/>
    <n v="358"/>
    <d v="2026-10-03T00:00:00"/>
    <d v="2026-10-01T00:00:00"/>
    <n v="6"/>
    <n v="134"/>
    <n v="-2"/>
    <n v="1"/>
    <n v="0.9445910290237467"/>
    <n v="0.98324022346368711"/>
    <n v="47972"/>
    <n v="3.7313432835820892E-2"/>
    <n v="0"/>
    <n v="0.88762161612743762"/>
    <n v="1"/>
    <s v="Moderate"/>
  </r>
  <r>
    <s v="PO1069"/>
    <s v="V005"/>
    <x v="3"/>
    <s v="PCB"/>
    <x v="7"/>
    <n v="2228"/>
    <n v="2130"/>
    <d v="2026-10-08T00:00:00"/>
    <d v="2026-10-06T00:00:00"/>
    <n v="43"/>
    <n v="207"/>
    <n v="-2"/>
    <n v="1"/>
    <n v="0.95601436265709161"/>
    <n v="0.97981220657276991"/>
    <n v="440910"/>
    <n v="2.4154589371980676E-2"/>
    <n v="0"/>
    <n v="0.88756199344044739"/>
    <n v="1"/>
    <s v="Moderate"/>
  </r>
  <r>
    <s v="PO1049"/>
    <s v="V002"/>
    <x v="8"/>
    <s v="Capacitor"/>
    <x v="2"/>
    <n v="3774"/>
    <n v="3672"/>
    <d v="2026-05-15T00:00:00"/>
    <d v="2026-05-14T00:00:00"/>
    <n v="112"/>
    <n v="238"/>
    <n v="-1"/>
    <n v="1"/>
    <n v="0.97297297297297303"/>
    <n v="0.9694989106753813"/>
    <n v="873936"/>
    <n v="2.100840336134454E-2"/>
    <n v="0"/>
    <n v="0.88754510813334342"/>
    <n v="1"/>
    <s v="Moderate"/>
  </r>
  <r>
    <s v="PO1300"/>
    <s v="V010"/>
    <x v="0"/>
    <s v="Capacitor"/>
    <x v="1"/>
    <n v="1307"/>
    <n v="1237"/>
    <d v="2026-07-01T00:00:00"/>
    <d v="2026-06-29T00:00:00"/>
    <n v="16"/>
    <n v="234"/>
    <n v="-2"/>
    <n v="1"/>
    <n v="0.94644223412394801"/>
    <n v="0.98706548100242519"/>
    <n v="289458"/>
    <n v="2.1367521367521368E-2"/>
    <n v="0"/>
    <n v="0.88754484326226935"/>
    <n v="1"/>
    <s v="Moderate"/>
  </r>
  <r>
    <s v="PO1497"/>
    <s v="V004"/>
    <x v="1"/>
    <s v="PCB"/>
    <x v="2"/>
    <n v="2601"/>
    <n v="2484"/>
    <d v="2026-05-09T00:00:00"/>
    <d v="2026-05-09T00:00:00"/>
    <n v="226"/>
    <n v="21"/>
    <n v="0"/>
    <n v="1"/>
    <n v="0.95501730103806226"/>
    <n v="0.90901771336553949"/>
    <n v="52164"/>
    <n v="0.23809523809523808"/>
    <n v="0"/>
    <n v="0.88751829802679827"/>
    <n v="1"/>
    <s v="Moderate"/>
  </r>
  <r>
    <s v="PO1313"/>
    <s v="V003"/>
    <x v="6"/>
    <s v="Capacitor"/>
    <x v="0"/>
    <n v="2266"/>
    <n v="2244"/>
    <d v="2026-12-01T00:00:00"/>
    <d v="2026-11-29T00:00:00"/>
    <n v="136"/>
    <n v="66"/>
    <n v="-2"/>
    <n v="1"/>
    <n v="0.99029126213592233"/>
    <n v="0.93939393939393945"/>
    <n v="148104"/>
    <n v="7.575757575757576E-2"/>
    <n v="0"/>
    <n v="0.88745219182112389"/>
    <n v="1"/>
    <s v="Moderate"/>
  </r>
  <r>
    <s v="PO1009"/>
    <s v="V005"/>
    <x v="3"/>
    <s v="IC"/>
    <x v="9"/>
    <n v="1878"/>
    <n v="1738"/>
    <d v="2026-08-19T00:00:00"/>
    <d v="2026-08-19T00:00:00"/>
    <n v="40"/>
    <n v="54"/>
    <n v="0"/>
    <n v="1"/>
    <n v="0.92545260915867944"/>
    <n v="0.97698504027617949"/>
    <n v="93852"/>
    <n v="9.2592592592592587E-2"/>
    <n v="0"/>
    <n v="0.88744529317384913"/>
    <n v="1"/>
    <s v="Moderate"/>
  </r>
  <r>
    <s v="PO1391"/>
    <s v="V007"/>
    <x v="5"/>
    <s v="IC"/>
    <x v="8"/>
    <n v="2529"/>
    <n v="2406"/>
    <d v="2026-09-23T00:00:00"/>
    <d v="2026-09-23T00:00:00"/>
    <n v="99"/>
    <n v="53"/>
    <n v="0"/>
    <n v="1"/>
    <n v="0.95136417556346387"/>
    <n v="0.95885286783042389"/>
    <n v="127518"/>
    <n v="9.4339622641509441E-2"/>
    <n v="0"/>
    <n v="0.88736265772597089"/>
    <n v="1"/>
    <s v="Moderate"/>
  </r>
  <r>
    <s v="PO1046"/>
    <s v="V003"/>
    <x v="6"/>
    <s v="Connector"/>
    <x v="2"/>
    <n v="4789"/>
    <n v="4638"/>
    <d v="2026-05-21T00:00:00"/>
    <d v="2026-05-19T00:00:00"/>
    <n v="284"/>
    <n v="42"/>
    <n v="-2"/>
    <n v="1"/>
    <n v="0.96846940906243473"/>
    <n v="0.93876670978870203"/>
    <n v="194796"/>
    <n v="0.11904761904761904"/>
    <n v="0"/>
    <n v="0.88722865665385942"/>
    <n v="1"/>
    <s v="Moderate"/>
  </r>
  <r>
    <s v="PO1169"/>
    <s v="V010"/>
    <x v="0"/>
    <s v="PCB"/>
    <x v="5"/>
    <n v="4806"/>
    <n v="4506"/>
    <d v="2026-04-28T00:00:00"/>
    <d v="2026-04-27T00:00:00"/>
    <n v="46"/>
    <n v="183"/>
    <n v="-1"/>
    <n v="1"/>
    <n v="0.93757802746566787"/>
    <n v="0.98979138925876609"/>
    <n v="824598"/>
    <n v="2.7322404371584699E-2"/>
    <n v="0"/>
    <n v="0.88718526270792197"/>
    <n v="1"/>
    <s v="Moderate"/>
  </r>
  <r>
    <s v="PO1033"/>
    <s v="V001"/>
    <x v="2"/>
    <s v="Connector"/>
    <x v="7"/>
    <n v="1511"/>
    <n v="1406"/>
    <d v="2026-10-06T00:00:00"/>
    <d v="2026-10-06T00:00:00"/>
    <n v="16"/>
    <n v="117"/>
    <n v="0"/>
    <n v="1"/>
    <n v="0.93050959629384511"/>
    <n v="0.98862019914651489"/>
    <n v="164502"/>
    <n v="4.2735042735042736E-2"/>
    <n v="0"/>
    <n v="0.88696148327622781"/>
    <n v="1"/>
    <s v="Moderate"/>
  </r>
  <r>
    <s v="PO1071"/>
    <s v="V007"/>
    <x v="5"/>
    <s v="Capacitor"/>
    <x v="2"/>
    <n v="1979"/>
    <n v="1912"/>
    <d v="2026-05-06T00:00:00"/>
    <d v="2026-05-05T00:00:00"/>
    <n v="82"/>
    <n v="76"/>
    <n v="-1"/>
    <n v="1"/>
    <n v="0.96614451743304697"/>
    <n v="0.95711297071129708"/>
    <n v="145312"/>
    <n v="6.5789473684210523E-2"/>
    <n v="0"/>
    <n v="0.88694174206841947"/>
    <n v="1"/>
    <s v="Moderate"/>
  </r>
  <r>
    <s v="PO1422"/>
    <s v="V008"/>
    <x v="4"/>
    <s v="Connector"/>
    <x v="1"/>
    <n v="3646"/>
    <n v="3558"/>
    <d v="2026-07-03T00:00:00"/>
    <d v="2026-07-02T00:00:00"/>
    <n v="182"/>
    <n v="71"/>
    <n v="-1"/>
    <n v="1"/>
    <n v="0.97586396050466262"/>
    <n v="0.94884766722878022"/>
    <n v="252618"/>
    <n v="7.0422535211267609E-2"/>
    <n v="0"/>
    <n v="0.88686934579069332"/>
    <n v="1"/>
    <s v="Moderate"/>
  </r>
  <r>
    <s v="PO1291"/>
    <s v="V007"/>
    <x v="5"/>
    <s v="Connector"/>
    <x v="5"/>
    <n v="518"/>
    <n v="512"/>
    <d v="2026-04-02T00:00:00"/>
    <d v="2026-04-02T00:00:00"/>
    <n v="23"/>
    <n v="189"/>
    <n v="0"/>
    <n v="1"/>
    <n v="0.98841698841698844"/>
    <n v="0.955078125"/>
    <n v="96768"/>
    <n v="2.6455026455026454E-2"/>
    <n v="0"/>
    <n v="0.88685233782890038"/>
    <n v="1"/>
    <s v="Moderate"/>
  </r>
  <r>
    <s v="PO1500"/>
    <s v="V008"/>
    <x v="4"/>
    <s v="Capacitor"/>
    <x v="4"/>
    <n v="2857"/>
    <n v="2822"/>
    <d v="2026-11-18T00:00:00"/>
    <d v="2026-11-16T00:00:00"/>
    <n v="146"/>
    <n v="104"/>
    <n v="-2"/>
    <n v="1"/>
    <n v="0.98774938746937346"/>
    <n v="0.9482636428065202"/>
    <n v="293488"/>
    <n v="4.807692307692308E-2"/>
    <n v="0"/>
    <n v="0.88683666264352312"/>
    <n v="1"/>
    <s v="Moderate"/>
  </r>
  <r>
    <s v="PO1464"/>
    <s v="V008"/>
    <x v="4"/>
    <s v="PCB"/>
    <x v="5"/>
    <n v="973"/>
    <n v="918"/>
    <d v="2026-04-15T00:00:00"/>
    <d v="2026-04-15T00:00:00"/>
    <n v="51"/>
    <n v="34"/>
    <n v="0"/>
    <n v="1"/>
    <n v="0.94347379239465567"/>
    <n v="0.94444444444444442"/>
    <n v="31212"/>
    <n v="0.14705882352941177"/>
    <n v="0"/>
    <n v="0.88673397416520561"/>
    <n v="1"/>
    <s v="Moderate"/>
  </r>
  <r>
    <s v="PO1234"/>
    <s v="V005"/>
    <x v="3"/>
    <s v="Capacitor"/>
    <x v="6"/>
    <n v="4267"/>
    <n v="3980"/>
    <d v="2026-06-19T00:00:00"/>
    <d v="2026-06-18T00:00:00"/>
    <n v="81"/>
    <n v="80"/>
    <n v="-1"/>
    <n v="1"/>
    <n v="0.93273962971642843"/>
    <n v="0.97964824120603011"/>
    <n v="318400"/>
    <n v="6.25E-2"/>
    <n v="0"/>
    <n v="0.88669239830509472"/>
    <n v="1"/>
    <s v="Moderate"/>
  </r>
  <r>
    <s v="PO1366"/>
    <s v="V002"/>
    <x v="8"/>
    <s v="IC"/>
    <x v="2"/>
    <n v="971"/>
    <n v="936"/>
    <d v="2026-05-01T00:00:00"/>
    <d v="2026-04-29T00:00:00"/>
    <n v="29"/>
    <n v="158"/>
    <n v="-2"/>
    <n v="1"/>
    <n v="0.96395468589083422"/>
    <n v="0.96901709401709402"/>
    <n v="147888"/>
    <n v="3.1645569620253167E-2"/>
    <n v="0"/>
    <n v="0.88666062234532039"/>
    <n v="1"/>
    <s v="Moderate"/>
  </r>
  <r>
    <s v="PO1344"/>
    <s v="V009"/>
    <x v="7"/>
    <s v="Connector"/>
    <x v="8"/>
    <n v="3420"/>
    <n v="3271"/>
    <d v="2026-09-19T00:00:00"/>
    <d v="2026-09-19T00:00:00"/>
    <n v="233"/>
    <n v="30"/>
    <n v="0"/>
    <n v="1"/>
    <n v="0.95643274853801175"/>
    <n v="0.92876796086823599"/>
    <n v="98130"/>
    <n v="0.16666666666666666"/>
    <n v="0"/>
    <n v="0.88658360463473984"/>
    <n v="1"/>
    <s v="Moderate"/>
  </r>
  <r>
    <s v="PO1115"/>
    <s v="V010"/>
    <x v="0"/>
    <s v="IC"/>
    <x v="0"/>
    <n v="3779"/>
    <n v="3546"/>
    <d v="2026-12-01T00:00:00"/>
    <d v="2026-11-30T00:00:00"/>
    <n v="41"/>
    <n v="213"/>
    <n v="-1"/>
    <n v="1"/>
    <n v="0.9383434771103466"/>
    <n v="0.98843767625493517"/>
    <n v="755298"/>
    <n v="2.3474178403755867E-2"/>
    <n v="0"/>
    <n v="0.88654741613892551"/>
    <n v="1"/>
    <s v="Moderate"/>
  </r>
  <r>
    <s v="PO1272"/>
    <s v="V002"/>
    <x v="8"/>
    <s v="PCB"/>
    <x v="8"/>
    <n v="4834"/>
    <n v="4556"/>
    <d v="2026-09-12T00:00:00"/>
    <d v="2026-09-11T00:00:00"/>
    <n v="139"/>
    <n v="70"/>
    <n v="-1"/>
    <n v="1"/>
    <n v="0.94249069093918081"/>
    <n v="0.9694907813871817"/>
    <n v="318920"/>
    <n v="7.1428571428571425E-2"/>
    <n v="0"/>
    <n v="0.88648822974684771"/>
    <n v="1"/>
    <s v="Moderate"/>
  </r>
  <r>
    <s v="PO1456"/>
    <s v="V007"/>
    <x v="5"/>
    <s v="Connector"/>
    <x v="2"/>
    <n v="2729"/>
    <n v="2650"/>
    <d v="2026-05-11T00:00:00"/>
    <d v="2026-05-11T00:00:00"/>
    <n v="106"/>
    <n v="118"/>
    <n v="0"/>
    <n v="1"/>
    <n v="0.97105166727739101"/>
    <n v="0.96"/>
    <n v="312700"/>
    <n v="4.2372881355932202E-2"/>
    <n v="0"/>
    <n v="0.88644762159107138"/>
    <n v="1"/>
    <s v="Moderate"/>
  </r>
  <r>
    <s v="PO1288"/>
    <s v="V008"/>
    <x v="4"/>
    <s v="Connector"/>
    <x v="6"/>
    <n v="4371"/>
    <n v="4352"/>
    <d v="2026-06-23T00:00:00"/>
    <d v="2026-06-21T00:00:00"/>
    <n v="218"/>
    <n v="221"/>
    <n v="-2"/>
    <n v="1"/>
    <n v="0.99565316861130171"/>
    <n v="0.94990808823529416"/>
    <n v="961792"/>
    <n v="2.2624434389140271E-2"/>
    <n v="0"/>
    <n v="0.8863655036317627"/>
    <n v="1"/>
    <s v="Moderate"/>
  </r>
  <r>
    <s v="PO1435"/>
    <s v="V010"/>
    <x v="0"/>
    <s v="IC"/>
    <x v="4"/>
    <n v="2183"/>
    <n v="2028"/>
    <d v="2026-11-20T00:00:00"/>
    <d v="2026-11-20T00:00:00"/>
    <n v="21"/>
    <n v="141"/>
    <n v="0"/>
    <n v="1"/>
    <n v="0.92899679340357311"/>
    <n v="0.98964497041420119"/>
    <n v="285948"/>
    <n v="3.5460992907801421E-2"/>
    <n v="0"/>
    <n v="0.88623894909575507"/>
    <n v="1"/>
    <s v="Moderate"/>
  </r>
  <r>
    <s v="PO1139"/>
    <s v="V008"/>
    <x v="4"/>
    <s v="PCB"/>
    <x v="5"/>
    <n v="3865"/>
    <n v="3822"/>
    <d v="2026-04-12T00:00:00"/>
    <d v="2026-04-11T00:00:00"/>
    <n v="197"/>
    <n v="128"/>
    <n v="-1"/>
    <n v="1"/>
    <n v="0.98887451487710221"/>
    <n v="0.94845630559916272"/>
    <n v="489216"/>
    <n v="3.90625E-2"/>
    <n v="0"/>
    <n v="0.88621804465516929"/>
    <n v="1"/>
    <s v="Moderate"/>
  </r>
  <r>
    <s v="PO1267"/>
    <s v="V003"/>
    <x v="6"/>
    <s v="IC"/>
    <x v="5"/>
    <n v="1895"/>
    <n v="1873"/>
    <d v="2026-04-07T00:00:00"/>
    <d v="2026-04-06T00:00:00"/>
    <n v="114"/>
    <n v="74"/>
    <n v="-1"/>
    <n v="1"/>
    <n v="0.98839050131926121"/>
    <n v="0.93913507741591029"/>
    <n v="138602"/>
    <n v="6.7567567567567571E-2"/>
    <n v="0"/>
    <n v="0.88617538024538212"/>
    <n v="1"/>
    <s v="Moderate"/>
  </r>
  <r>
    <s v="PO1384"/>
    <s v="V010"/>
    <x v="0"/>
    <s v="Connector"/>
    <x v="7"/>
    <n v="2886"/>
    <n v="2699"/>
    <d v="2026-10-11T00:00:00"/>
    <d v="2026-10-11T00:00:00"/>
    <n v="30"/>
    <n v="206"/>
    <n v="0"/>
    <n v="1"/>
    <n v="0.93520443520443519"/>
    <n v="0.98888477213782877"/>
    <n v="555994"/>
    <n v="2.4271844660194174E-2"/>
    <n v="0"/>
    <n v="0.88613350314825512"/>
    <n v="1"/>
    <s v="Moderate"/>
  </r>
  <r>
    <s v="PO1045"/>
    <s v="V008"/>
    <x v="4"/>
    <s v="IC"/>
    <x v="0"/>
    <n v="1993"/>
    <n v="1928"/>
    <d v="2026-12-25T00:00:00"/>
    <d v="2026-12-23T00:00:00"/>
    <n v="100"/>
    <n v="61"/>
    <n v="-2"/>
    <n v="1"/>
    <n v="0.96738585047666836"/>
    <n v="0.94813278008298751"/>
    <n v="117608"/>
    <n v="8.1967213114754092E-2"/>
    <n v="0"/>
    <n v="0.88611372543170541"/>
    <n v="1"/>
    <s v="Moderate"/>
  </r>
  <r>
    <s v="PO1388"/>
    <s v="V005"/>
    <x v="3"/>
    <s v="Capacitor"/>
    <x v="0"/>
    <n v="3646"/>
    <n v="3461"/>
    <d v="2026-12-27T00:00:00"/>
    <d v="2026-12-26T00:00:00"/>
    <n v="72"/>
    <n v="203"/>
    <n v="-1"/>
    <n v="1"/>
    <n v="0.94925946242457493"/>
    <n v="0.97919676394105748"/>
    <n v="702583"/>
    <n v="2.4630541871921183E-2"/>
    <n v="0"/>
    <n v="0.88607397585442438"/>
    <n v="1"/>
    <s v="Moderate"/>
  </r>
  <r>
    <s v="PO1372"/>
    <s v="V008"/>
    <x v="4"/>
    <s v="Connector"/>
    <x v="7"/>
    <n v="617"/>
    <n v="616"/>
    <d v="2026-10-25T00:00:00"/>
    <d v="2026-10-25T00:00:00"/>
    <n v="33"/>
    <n v="214"/>
    <n v="0"/>
    <n v="1"/>
    <n v="0.99837925445705022"/>
    <n v="0.9464285714285714"/>
    <n v="131824"/>
    <n v="2.336448598130841E-2"/>
    <n v="0"/>
    <n v="0.88594087091811236"/>
    <n v="1"/>
    <s v="Moderate"/>
  </r>
  <r>
    <s v="PO1310"/>
    <s v="V008"/>
    <x v="4"/>
    <s v="Capacitor"/>
    <x v="1"/>
    <n v="2636"/>
    <n v="2549"/>
    <d v="2026-07-14T00:00:00"/>
    <d v="2026-07-12T00:00:00"/>
    <n v="129"/>
    <n v="65"/>
    <n v="-2"/>
    <n v="1"/>
    <n v="0.96699544764795142"/>
    <n v="0.94939191839937231"/>
    <n v="165685"/>
    <n v="7.6923076923076927E-2"/>
    <n v="0"/>
    <n v="0.88590897274170965"/>
    <n v="1"/>
    <s v="Moderate"/>
  </r>
  <r>
    <s v="PO1347"/>
    <s v="V007"/>
    <x v="5"/>
    <s v="IC"/>
    <x v="4"/>
    <n v="3042"/>
    <n v="2965"/>
    <d v="2026-11-23T00:00:00"/>
    <d v="2026-11-21T00:00:00"/>
    <n v="121"/>
    <n v="156"/>
    <n v="-2"/>
    <n v="1"/>
    <n v="0.97468770545693617"/>
    <n v="0.95919055649241147"/>
    <n v="462540"/>
    <n v="3.2051282051282048E-2"/>
    <n v="0"/>
    <n v="0.88589983624423885"/>
    <n v="1"/>
    <s v="Moderate"/>
  </r>
  <r>
    <s v="PO1203"/>
    <s v="V002"/>
    <x v="8"/>
    <s v="Capacitor"/>
    <x v="7"/>
    <n v="933"/>
    <n v="900"/>
    <d v="2026-10-25T00:00:00"/>
    <d v="2026-10-24T00:00:00"/>
    <n v="32"/>
    <n v="138"/>
    <n v="-1"/>
    <n v="1"/>
    <n v="0.96463022508038587"/>
    <n v="0.96444444444444444"/>
    <n v="124200"/>
    <n v="3.6231884057971016E-2"/>
    <n v="0"/>
    <n v="0.88588256675520771"/>
    <n v="1"/>
    <s v="Moderate"/>
  </r>
  <r>
    <s v="PO1436"/>
    <s v="V005"/>
    <x v="3"/>
    <s v="PCB"/>
    <x v="8"/>
    <n v="1238"/>
    <n v="1172"/>
    <d v="2026-09-08T00:00:00"/>
    <d v="2026-09-06T00:00:00"/>
    <n v="27"/>
    <n v="147"/>
    <n v="-2"/>
    <n v="1"/>
    <n v="0.94668820678513732"/>
    <n v="0.976962457337884"/>
    <n v="172284"/>
    <n v="3.4013605442176874E-2"/>
    <n v="0"/>
    <n v="0.88582773910261037"/>
    <n v="1"/>
    <s v="Moderate"/>
  </r>
  <r>
    <s v="PO1494"/>
    <s v="V008"/>
    <x v="4"/>
    <s v="Capacitor"/>
    <x v="5"/>
    <n v="3635"/>
    <n v="3600"/>
    <d v="2026-04-07T00:00:00"/>
    <d v="2026-04-07T00:00:00"/>
    <n v="185"/>
    <n v="165"/>
    <n v="0"/>
    <n v="1"/>
    <n v="0.99037138927097657"/>
    <n v="0.94861111111111107"/>
    <n v="594000"/>
    <n v="3.0303030303030304E-2"/>
    <n v="0"/>
    <n v="0.88568791421783166"/>
    <n v="1"/>
    <s v="Moderate"/>
  </r>
  <r>
    <s v="PO1499"/>
    <s v="V005"/>
    <x v="3"/>
    <s v="IC"/>
    <x v="6"/>
    <n v="2633"/>
    <n v="2490"/>
    <d v="2026-06-23T00:00:00"/>
    <d v="2026-06-22T00:00:00"/>
    <n v="55"/>
    <n v="169"/>
    <n v="-1"/>
    <n v="1"/>
    <n v="0.94568932776300796"/>
    <n v="0.97791164658634533"/>
    <n v="420810"/>
    <n v="2.9585798816568046E-2"/>
    <n v="0"/>
    <n v="0.88546993941016194"/>
    <n v="1"/>
    <s v="Moderate"/>
  </r>
  <r>
    <s v="PO1397"/>
    <s v="V007"/>
    <x v="5"/>
    <s v="Capacitor"/>
    <x v="7"/>
    <n v="3263"/>
    <n v="3188"/>
    <d v="2026-10-12T00:00:00"/>
    <d v="2026-10-11T00:00:00"/>
    <n v="129"/>
    <n v="248"/>
    <n v="-1"/>
    <n v="1"/>
    <n v="0.97701501685565428"/>
    <n v="0.95953575909661226"/>
    <n v="790624"/>
    <n v="2.0161290322580645E-2"/>
    <n v="0"/>
    <n v="0.8852798601323727"/>
    <n v="1"/>
    <s v="Moderate"/>
  </r>
  <r>
    <s v="PO1323"/>
    <s v="V010"/>
    <x v="0"/>
    <s v="IC"/>
    <x v="11"/>
    <n v="3954"/>
    <n v="3647"/>
    <d v="2026-03-23T00:00:00"/>
    <d v="2026-03-22T00:00:00"/>
    <n v="37"/>
    <n v="130"/>
    <n v="-1"/>
    <n v="1"/>
    <n v="0.92235710672736471"/>
    <n v="0.98985467507540448"/>
    <n v="474110"/>
    <n v="3.8461538461538464E-2"/>
    <n v="0"/>
    <n v="0.88527397771424821"/>
    <n v="1"/>
    <s v="Moderate"/>
  </r>
  <r>
    <s v="PO1460"/>
    <s v="V002"/>
    <x v="8"/>
    <s v="PCB"/>
    <x v="7"/>
    <n v="3301"/>
    <n v="3157"/>
    <d v="2026-10-22T00:00:00"/>
    <d v="2026-10-20T00:00:00"/>
    <n v="98"/>
    <n v="153"/>
    <n v="-2"/>
    <n v="1"/>
    <n v="0.95637685549833384"/>
    <n v="0.96895787139689582"/>
    <n v="483021"/>
    <n v="3.2679738562091505E-2"/>
    <n v="0"/>
    <n v="0.88523070637494461"/>
    <n v="1"/>
    <s v="Moderate"/>
  </r>
  <r>
    <s v="PO1246"/>
    <s v="V008"/>
    <x v="4"/>
    <s v="IC"/>
    <x v="4"/>
    <n v="742"/>
    <n v="731"/>
    <d v="2026-11-19T00:00:00"/>
    <d v="2026-11-17T00:00:00"/>
    <n v="42"/>
    <n v="93"/>
    <n v="-2"/>
    <n v="1"/>
    <n v="0.98517520215633425"/>
    <n v="0.94254445964432287"/>
    <n v="67983"/>
    <n v="5.3763440860215055E-2"/>
    <n v="0"/>
    <n v="0.88517472241058526"/>
    <n v="1"/>
    <s v="Moderate"/>
  </r>
  <r>
    <s v="PO1036"/>
    <s v="V006"/>
    <x v="9"/>
    <s v="Capacitor"/>
    <x v="4"/>
    <n v="2672"/>
    <n v="2540"/>
    <d v="2026-11-17T00:00:00"/>
    <d v="2026-11-17T00:00:00"/>
    <n v="307"/>
    <n v="16"/>
    <n v="0"/>
    <n v="1"/>
    <n v="0.95059880239520955"/>
    <n v="0.87913385826771651"/>
    <n v="40640"/>
    <n v="0.3125"/>
    <n v="0"/>
    <n v="0.8851099179593569"/>
    <n v="1"/>
    <s v="Moderate"/>
  </r>
  <r>
    <s v="PO1137"/>
    <s v="V007"/>
    <x v="5"/>
    <s v="IC"/>
    <x v="7"/>
    <n v="1467"/>
    <n v="1430"/>
    <d v="2026-10-24T00:00:00"/>
    <d v="2026-10-22T00:00:00"/>
    <n v="60"/>
    <n v="184"/>
    <n v="-2"/>
    <n v="1"/>
    <n v="0.97477845944103614"/>
    <n v="0.95804195804195802"/>
    <n v="263120"/>
    <n v="2.717391304347826E-2"/>
    <n v="0"/>
    <n v="0.88508567060514243"/>
    <n v="1"/>
    <s v="Moderate"/>
  </r>
  <r>
    <s v="PO1160"/>
    <s v="V007"/>
    <x v="5"/>
    <s v="IC"/>
    <x v="9"/>
    <n v="2959"/>
    <n v="2814"/>
    <d v="2026-08-14T00:00:00"/>
    <d v="2026-08-14T00:00:00"/>
    <n v="118"/>
    <n v="67"/>
    <n v="0"/>
    <n v="1"/>
    <n v="0.95099695843190268"/>
    <n v="0.95806680881307749"/>
    <n v="188538"/>
    <n v="7.4626865671641784E-2"/>
    <n v="0"/>
    <n v="0.88508212089746796"/>
    <n v="1"/>
    <s v="Moderate"/>
  </r>
  <r>
    <s v="PO1491"/>
    <s v="V003"/>
    <x v="6"/>
    <s v="PCB"/>
    <x v="2"/>
    <n v="4445"/>
    <n v="4432"/>
    <d v="2026-05-11T00:00:00"/>
    <d v="2026-05-11T00:00:00"/>
    <n v="271"/>
    <n v="126"/>
    <n v="0"/>
    <n v="1"/>
    <n v="0.99707536557930254"/>
    <n v="0.93885379061371843"/>
    <n v="558432"/>
    <n v="3.968253968253968E-2"/>
    <n v="0"/>
    <n v="0.88503946426822999"/>
    <n v="1"/>
    <s v="Moderate"/>
  </r>
  <r>
    <s v="PO1083"/>
    <s v="V002"/>
    <x v="8"/>
    <s v="Connector"/>
    <x v="10"/>
    <n v="4151"/>
    <n v="3913"/>
    <d v="2026-02-16T00:00:00"/>
    <d v="2026-02-16T00:00:00"/>
    <n v="123"/>
    <n v="85"/>
    <n v="0"/>
    <n v="1"/>
    <n v="0.94266441821247893"/>
    <n v="0.96856631740352672"/>
    <n v="332605"/>
    <n v="5.8823529411764705E-2"/>
    <n v="0"/>
    <n v="0.88498513180473026"/>
    <n v="1"/>
    <s v="Moderate"/>
  </r>
  <r>
    <s v="PO1091"/>
    <s v="V002"/>
    <x v="8"/>
    <s v="PCB"/>
    <x v="6"/>
    <n v="3941"/>
    <n v="3746"/>
    <d v="2026-06-15T00:00:00"/>
    <d v="2026-06-14T00:00:00"/>
    <n v="114"/>
    <n v="125"/>
    <n v="-1"/>
    <n v="1"/>
    <n v="0.95052017254503929"/>
    <n v="0.9695675387079552"/>
    <n v="468250"/>
    <n v="0.04"/>
    <n v="0"/>
    <n v="0.88497429612139444"/>
    <n v="1"/>
    <s v="Moderate"/>
  </r>
  <r>
    <s v="PO1406"/>
    <s v="V010"/>
    <x v="0"/>
    <s v="Capacitor"/>
    <x v="0"/>
    <n v="2285"/>
    <n v="2116"/>
    <d v="2026-12-18T00:00:00"/>
    <d v="2026-12-16T00:00:00"/>
    <n v="22"/>
    <n v="175"/>
    <n v="-2"/>
    <n v="1"/>
    <n v="0.92603938730853397"/>
    <n v="0.9896030245746692"/>
    <n v="370300"/>
    <n v="2.8571428571428571E-2"/>
    <n v="0"/>
    <n v="0.88494592769125036"/>
    <n v="1"/>
    <s v="Moderate"/>
  </r>
  <r>
    <s v="PO1144"/>
    <s v="V003"/>
    <x v="6"/>
    <s v="IC"/>
    <x v="11"/>
    <n v="4621"/>
    <n v="4539"/>
    <d v="2026-03-11T00:00:00"/>
    <d v="2026-03-09T00:00:00"/>
    <n v="274"/>
    <n v="76"/>
    <n v="-2"/>
    <n v="1"/>
    <n v="0.98225492317680152"/>
    <n v="0.93963428067856358"/>
    <n v="344964"/>
    <n v="6.5789473684210523E-2"/>
    <n v="0"/>
    <n v="0.8849202162073504"/>
    <n v="1"/>
    <s v="Moderate"/>
  </r>
  <r>
    <s v="PO1161"/>
    <s v="V003"/>
    <x v="6"/>
    <s v="Connector"/>
    <x v="1"/>
    <n v="3206"/>
    <n v="3117"/>
    <d v="2026-07-18T00:00:00"/>
    <d v="2026-07-17T00:00:00"/>
    <n v="192"/>
    <n v="56"/>
    <n v="-1"/>
    <n v="1"/>
    <n v="0.97223955084217095"/>
    <n v="0.93840230991337825"/>
    <n v="174552"/>
    <n v="8.9285714285714288E-2"/>
    <n v="0"/>
    <n v="0.88489717457101902"/>
    <n v="1"/>
    <s v="Moderate"/>
  </r>
  <r>
    <s v="PO1358"/>
    <s v="V007"/>
    <x v="5"/>
    <s v="IC"/>
    <x v="2"/>
    <n v="4333"/>
    <n v="4223"/>
    <d v="2026-05-30T00:00:00"/>
    <d v="2026-05-28T00:00:00"/>
    <n v="172"/>
    <n v="232"/>
    <n v="-2"/>
    <n v="1"/>
    <n v="0.97461343180244631"/>
    <n v="0.95927066066777178"/>
    <n v="979736"/>
    <n v="2.1551724137931036E-2"/>
    <n v="0"/>
    <n v="0.88485905697461398"/>
    <n v="1"/>
    <s v="Moderate"/>
  </r>
  <r>
    <s v="PO1212"/>
    <s v="V005"/>
    <x v="3"/>
    <s v="PCB"/>
    <x v="5"/>
    <n v="3765"/>
    <n v="3550"/>
    <d v="2026-04-10T00:00:00"/>
    <d v="2026-04-08T00:00:00"/>
    <n v="74"/>
    <n v="198"/>
    <n v="-2"/>
    <n v="1"/>
    <n v="0.94289508632138119"/>
    <n v="0.97915492957746475"/>
    <n v="702900"/>
    <n v="2.5252525252525252E-2"/>
    <n v="0"/>
    <n v="0.88485074866276825"/>
    <n v="1"/>
    <s v="Moderate"/>
  </r>
  <r>
    <s v="PO1376"/>
    <s v="V003"/>
    <x v="6"/>
    <s v="IC"/>
    <x v="10"/>
    <n v="2036"/>
    <n v="2034"/>
    <d v="2026-02-21T00:00:00"/>
    <d v="2026-02-20T00:00:00"/>
    <n v="124"/>
    <n v="151"/>
    <n v="-1"/>
    <n v="1"/>
    <n v="0.99901768172888017"/>
    <n v="0.93903638151425761"/>
    <n v="307134"/>
    <n v="3.3112582781456956E-2"/>
    <n v="0"/>
    <n v="0.88482570907819902"/>
    <n v="1"/>
    <s v="Moderate"/>
  </r>
  <r>
    <s v="PO1426"/>
    <s v="V002"/>
    <x v="8"/>
    <s v="IC"/>
    <x v="9"/>
    <n v="4248"/>
    <n v="3995"/>
    <d v="2026-08-30T00:00:00"/>
    <d v="2026-08-29T00:00:00"/>
    <n v="120"/>
    <n v="88"/>
    <n v="-1"/>
    <n v="1"/>
    <n v="0.94044256120527303"/>
    <n v="0.96996245306633289"/>
    <n v="351560"/>
    <n v="5.6818181818181816E-2"/>
    <n v="0"/>
    <n v="0.88475906634277268"/>
    <n v="1"/>
    <s v="Moderate"/>
  </r>
  <r>
    <s v="PO1189"/>
    <s v="V009"/>
    <x v="7"/>
    <s v="Connector"/>
    <x v="9"/>
    <n v="3969"/>
    <n v="3938"/>
    <d v="2026-08-13T00:00:00"/>
    <d v="2026-08-11T00:00:00"/>
    <n v="279"/>
    <n v="67"/>
    <n v="-2"/>
    <n v="1"/>
    <n v="0.99218946837994459"/>
    <n v="0.92915185373285936"/>
    <n v="263846"/>
    <n v="7.4626865671641784E-2"/>
    <n v="0"/>
    <n v="0.88464613636301104"/>
    <n v="1"/>
    <s v="Moderate"/>
  </r>
  <r>
    <s v="PO1335"/>
    <s v="V007"/>
    <x v="5"/>
    <s v="IC"/>
    <x v="8"/>
    <n v="3511"/>
    <n v="3403"/>
    <d v="2026-09-01T00:00:00"/>
    <d v="2026-08-31T00:00:00"/>
    <n v="138"/>
    <n v="169"/>
    <n v="-1"/>
    <n v="1"/>
    <n v="0.96923953289661069"/>
    <n v="0.95944754628269169"/>
    <n v="575107"/>
    <n v="2.9585798816568046E-2"/>
    <n v="0"/>
    <n v="0.88464075034578649"/>
    <n v="1"/>
    <s v="Moderate"/>
  </r>
  <r>
    <s v="PO1224"/>
    <s v="V007"/>
    <x v="5"/>
    <s v="IC"/>
    <x v="11"/>
    <n v="1161"/>
    <n v="1128"/>
    <d v="2026-03-10T00:00:00"/>
    <d v="2026-03-10T00:00:00"/>
    <n v="46"/>
    <n v="203"/>
    <n v="0"/>
    <n v="1"/>
    <n v="0.9715762273901809"/>
    <n v="0.95921985815602839"/>
    <n v="228984"/>
    <n v="2.4630541871921183E-2"/>
    <n v="0"/>
    <n v="0.88454425711203677"/>
    <n v="1"/>
    <s v="Moderate"/>
  </r>
  <r>
    <s v="PO1141"/>
    <s v="V007"/>
    <x v="5"/>
    <s v="Capacitor"/>
    <x v="7"/>
    <n v="867"/>
    <n v="831"/>
    <d v="2026-10-21T00:00:00"/>
    <d v="2026-10-21T00:00:00"/>
    <n v="34"/>
    <n v="100"/>
    <n v="0"/>
    <n v="1"/>
    <n v="0.95847750865051906"/>
    <n v="0.95908543922984357"/>
    <n v="83100"/>
    <n v="0.05"/>
    <n v="0"/>
    <n v="0.88442113349905693"/>
    <n v="1"/>
    <s v="Moderate"/>
  </r>
  <r>
    <s v="PO1477"/>
    <s v="V002"/>
    <x v="8"/>
    <s v="Connector"/>
    <x v="10"/>
    <n v="1645"/>
    <n v="1580"/>
    <d v="2026-02-02T00:00:00"/>
    <d v="2026-01-31T00:00:00"/>
    <n v="53"/>
    <n v="219"/>
    <n v="-2"/>
    <n v="1"/>
    <n v="0.96048632218844987"/>
    <n v="0.96645569620253169"/>
    <n v="346020"/>
    <n v="2.2831050228310501E-2"/>
    <n v="0"/>
    <n v="0.88431707832128048"/>
    <n v="1"/>
    <s v="Moderate"/>
  </r>
  <r>
    <s v="PO1197"/>
    <s v="V007"/>
    <x v="5"/>
    <s v="Capacitor"/>
    <x v="2"/>
    <n v="3023"/>
    <n v="2921"/>
    <d v="2026-05-26T00:00:00"/>
    <d v="2026-05-26T00:00:00"/>
    <n v="120"/>
    <n v="154"/>
    <n v="0"/>
    <n v="1"/>
    <n v="0.96625868342705923"/>
    <n v="0.95891817870592266"/>
    <n v="449834"/>
    <n v="3.2467532467532464E-2"/>
    <n v="0"/>
    <n v="0.88417394354394196"/>
    <n v="1"/>
    <s v="Moderate"/>
  </r>
  <r>
    <s v="PO1317"/>
    <s v="V008"/>
    <x v="4"/>
    <s v="IC"/>
    <x v="10"/>
    <n v="1073"/>
    <n v="1044"/>
    <d v="2026-02-27T00:00:00"/>
    <d v="2026-02-25T00:00:00"/>
    <n v="54"/>
    <n v="99"/>
    <n v="-2"/>
    <n v="1"/>
    <n v="0.97297297297297303"/>
    <n v="0.94827586206896552"/>
    <n v="103356"/>
    <n v="5.0505050505050504E-2"/>
    <n v="0"/>
    <n v="0.88412785826578932"/>
    <n v="1"/>
    <s v="Moderate"/>
  </r>
  <r>
    <s v="PO1040"/>
    <s v="V001"/>
    <x v="2"/>
    <s v="PCB"/>
    <x v="1"/>
    <n v="3022"/>
    <n v="2799"/>
    <d v="2026-07-02T00:00:00"/>
    <d v="2026-06-30T00:00:00"/>
    <n v="31"/>
    <n v="249"/>
    <n v="-2"/>
    <n v="1"/>
    <n v="0.92620780939774983"/>
    <n v="0.98892461593426229"/>
    <n v="696951"/>
    <n v="2.0080321285140562E-2"/>
    <n v="0"/>
    <n v="0.88392697878834281"/>
    <n v="1"/>
    <s v="Moderate"/>
  </r>
  <r>
    <s v="PO1042"/>
    <s v="V007"/>
    <x v="5"/>
    <s v="PCB"/>
    <x v="11"/>
    <n v="370"/>
    <n v="354"/>
    <d v="2026-03-07T00:00:00"/>
    <d v="2026-03-06T00:00:00"/>
    <n v="18"/>
    <n v="64"/>
    <n v="-1"/>
    <n v="1"/>
    <n v="0.95675675675675675"/>
    <n v="0.94915254237288138"/>
    <n v="22656"/>
    <n v="7.8125E-2"/>
    <n v="0"/>
    <n v="0.88390961406321589"/>
    <n v="1"/>
    <s v="Moderate"/>
  </r>
  <r>
    <s v="PO1309"/>
    <s v="V002"/>
    <x v="8"/>
    <s v="IC"/>
    <x v="11"/>
    <n v="1543"/>
    <n v="1456"/>
    <d v="2026-03-26T00:00:00"/>
    <d v="2026-03-25T00:00:00"/>
    <n v="49"/>
    <n v="101"/>
    <n v="-1"/>
    <n v="1"/>
    <n v="0.9436163318211277"/>
    <n v="0.96634615384615385"/>
    <n v="147056"/>
    <n v="4.9504950495049507E-2"/>
    <n v="0"/>
    <n v="0.88357760756757664"/>
    <n v="1"/>
    <s v="Moderate"/>
  </r>
  <r>
    <s v="PO1354"/>
    <s v="V007"/>
    <x v="5"/>
    <s v="Connector"/>
    <x v="4"/>
    <n v="382"/>
    <n v="369"/>
    <d v="2026-11-09T00:00:00"/>
    <d v="2026-11-09T00:00:00"/>
    <n v="19"/>
    <n v="87"/>
    <n v="0"/>
    <n v="1"/>
    <n v="0.96596858638743455"/>
    <n v="0.948509485094851"/>
    <n v="32103"/>
    <n v="5.7471264367816091E-2"/>
    <n v="0"/>
    <n v="0.88349368924272387"/>
    <n v="1"/>
    <s v="Moderate"/>
  </r>
  <r>
    <s v="PO1051"/>
    <s v="V007"/>
    <x v="5"/>
    <s v="Connector"/>
    <x v="5"/>
    <n v="2907"/>
    <n v="2815"/>
    <d v="2026-04-10T00:00:00"/>
    <d v="2026-04-10T00:00:00"/>
    <n v="118"/>
    <n v="209"/>
    <n v="0"/>
    <n v="1"/>
    <n v="0.9683522531819746"/>
    <n v="0.9580817051509769"/>
    <n v="588335"/>
    <n v="2.3923444976076555E-2"/>
    <n v="0"/>
    <n v="0.88348730667929554"/>
    <n v="1"/>
    <s v="Moderate"/>
  </r>
  <r>
    <s v="PO1043"/>
    <s v="V007"/>
    <x v="5"/>
    <s v="Connector"/>
    <x v="4"/>
    <n v="1605"/>
    <n v="1546"/>
    <d v="2026-11-20T00:00:00"/>
    <d v="2026-11-18T00:00:00"/>
    <n v="67"/>
    <n v="131"/>
    <n v="-2"/>
    <n v="1"/>
    <n v="0.96323987538940814"/>
    <n v="0.95666235446313064"/>
    <n v="202526"/>
    <n v="3.8167938931297711E-2"/>
    <n v="0"/>
    <n v="0.88346347530995062"/>
    <n v="1"/>
    <s v="Moderate"/>
  </r>
  <r>
    <s v="PO1262"/>
    <s v="V003"/>
    <x v="6"/>
    <s v="Capacitor"/>
    <x v="4"/>
    <n v="1277"/>
    <n v="1263"/>
    <d v="2026-11-28T00:00:00"/>
    <d v="2026-11-28T00:00:00"/>
    <n v="79"/>
    <n v="114"/>
    <n v="0"/>
    <n v="1"/>
    <n v="0.98903680501174629"/>
    <n v="0.93745051464766427"/>
    <n v="143982"/>
    <n v="4.3859649122807015E-2"/>
    <n v="0"/>
    <n v="0.88342848030892929"/>
    <n v="1"/>
    <s v="Moderate"/>
  </r>
  <r>
    <s v="PO1004"/>
    <s v="V001"/>
    <x v="2"/>
    <s v="IC"/>
    <x v="8"/>
    <n v="2160"/>
    <n v="1992"/>
    <d v="2026-09-17T00:00:00"/>
    <d v="2026-09-15T00:00:00"/>
    <n v="22"/>
    <n v="223"/>
    <n v="-2"/>
    <n v="1"/>
    <n v="0.92222222222222228"/>
    <n v="0.98895582329317266"/>
    <n v="444216"/>
    <n v="2.2421524663677129E-2"/>
    <n v="0"/>
    <n v="0.88337334389876399"/>
    <n v="1"/>
    <s v="Moderate"/>
  </r>
  <r>
    <s v="PO1031"/>
    <s v="V002"/>
    <x v="8"/>
    <s v="Connector"/>
    <x v="1"/>
    <n v="239"/>
    <n v="230"/>
    <d v="2026-07-12T00:00:00"/>
    <d v="2026-07-10T00:00:00"/>
    <n v="10"/>
    <n v="127"/>
    <n v="-2"/>
    <n v="1"/>
    <n v="0.96234309623430958"/>
    <n v="0.95652173913043481"/>
    <n v="29210"/>
    <n v="3.937007874015748E-2"/>
    <n v="0"/>
    <n v="0.88336214886000808"/>
    <n v="1"/>
    <s v="Moderate"/>
  </r>
  <r>
    <s v="PO1024"/>
    <s v="V005"/>
    <x v="3"/>
    <s v="IC"/>
    <x v="7"/>
    <n v="4971"/>
    <n v="4582"/>
    <d v="2026-10-25T00:00:00"/>
    <d v="2026-10-24T00:00:00"/>
    <n v="96"/>
    <n v="95"/>
    <n v="-1"/>
    <n v="1"/>
    <n v="0.9217461275397304"/>
    <n v="0.97904845045831512"/>
    <n v="435290"/>
    <n v="5.2631578947368418E-2"/>
    <n v="0"/>
    <n v="0.88332691854017742"/>
    <n v="1"/>
    <s v="Moderate"/>
  </r>
  <r>
    <s v="PO1324"/>
    <s v="V009"/>
    <x v="7"/>
    <s v="Connector"/>
    <x v="6"/>
    <n v="4209"/>
    <n v="4197"/>
    <d v="2026-06-28T00:00:00"/>
    <d v="2026-06-27T00:00:00"/>
    <n v="294"/>
    <n v="102"/>
    <n v="-1"/>
    <n v="1"/>
    <n v="0.99714896650035634"/>
    <n v="0.92994996426018584"/>
    <n v="428094"/>
    <n v="4.9019607843137254E-2"/>
    <n v="0"/>
    <n v="0.8833167433624407"/>
    <n v="1"/>
    <s v="Moderate"/>
  </r>
  <r>
    <s v="PO1165"/>
    <s v="V003"/>
    <x v="6"/>
    <s v="PCB"/>
    <x v="9"/>
    <n v="1155"/>
    <n v="1150"/>
    <d v="2026-08-18T00:00:00"/>
    <d v="2026-08-16T00:00:00"/>
    <n v="69"/>
    <n v="236"/>
    <n v="-2"/>
    <n v="1"/>
    <n v="0.99567099567099571"/>
    <n v="0.94"/>
    <n v="271400"/>
    <n v="2.1186440677966101E-2"/>
    <n v="0"/>
    <n v="0.88325284320199571"/>
    <n v="1"/>
    <s v="Moderate"/>
  </r>
  <r>
    <s v="PO1015"/>
    <s v="V007"/>
    <x v="5"/>
    <s v="IC"/>
    <x v="11"/>
    <n v="3800"/>
    <n v="3606"/>
    <d v="2026-03-22T00:00:00"/>
    <d v="2026-03-22T00:00:00"/>
    <n v="145"/>
    <n v="92"/>
    <n v="0"/>
    <n v="1"/>
    <n v="0.94894736842105265"/>
    <n v="0.95978924015529676"/>
    <n v="331752"/>
    <n v="5.434782608695652E-2"/>
    <n v="0"/>
    <n v="0.88316102833949517"/>
    <n v="1"/>
    <s v="Moderate"/>
  </r>
  <r>
    <s v="PO1025"/>
    <s v="V002"/>
    <x v="8"/>
    <s v="PCB"/>
    <x v="1"/>
    <n v="803"/>
    <n v="768"/>
    <d v="2026-07-09T00:00:00"/>
    <d v="2026-07-07T00:00:00"/>
    <n v="27"/>
    <n v="219"/>
    <n v="-2"/>
    <n v="1"/>
    <n v="0.95641344956413454"/>
    <n v="0.96484375"/>
    <n v="168192"/>
    <n v="2.2831050228310501E-2"/>
    <n v="0"/>
    <n v="0.88301891993565795"/>
    <n v="1"/>
    <s v="Moderate"/>
  </r>
  <r>
    <s v="PO1104"/>
    <s v="V002"/>
    <x v="8"/>
    <s v="IC"/>
    <x v="3"/>
    <n v="2127"/>
    <n v="2007"/>
    <d v="2026-01-16T00:00:00"/>
    <d v="2026-01-14T00:00:00"/>
    <n v="63"/>
    <n v="142"/>
    <n v="-2"/>
    <n v="1"/>
    <n v="0.94358251057827924"/>
    <n v="0.96860986547085204"/>
    <n v="284994"/>
    <n v="3.5211267605633804E-2"/>
    <n v="0"/>
    <n v="0.8828205885174748"/>
    <n v="1"/>
    <s v="Moderate"/>
  </r>
  <r>
    <s v="PO1014"/>
    <s v="V001"/>
    <x v="2"/>
    <s v="PCB"/>
    <x v="9"/>
    <n v="638"/>
    <n v="588"/>
    <d v="2026-08-26T00:00:00"/>
    <d v="2026-08-25T00:00:00"/>
    <n v="11"/>
    <n v="122"/>
    <n v="-1"/>
    <n v="1"/>
    <n v="0.92163009404388718"/>
    <n v="0.98129251700680276"/>
    <n v="71736"/>
    <n v="4.0983606557377046E-2"/>
    <n v="0"/>
    <n v="0.88281213456655583"/>
    <n v="1"/>
    <s v="Moderate"/>
  </r>
  <r>
    <s v="PO1113"/>
    <s v="V005"/>
    <x v="3"/>
    <s v="Capacitor"/>
    <x v="6"/>
    <n v="2182"/>
    <n v="2040"/>
    <d v="2026-06-12T00:00:00"/>
    <d v="2026-06-12T00:00:00"/>
    <n v="46"/>
    <n v="202"/>
    <n v="0"/>
    <n v="1"/>
    <n v="0.93492208982584779"/>
    <n v="0.97745098039215683"/>
    <n v="412080"/>
    <n v="2.4752475247524754E-2"/>
    <n v="0"/>
    <n v="0.88269495960756905"/>
    <n v="1"/>
    <s v="Moderate"/>
  </r>
  <r>
    <s v="PO1482"/>
    <s v="V002"/>
    <x v="8"/>
    <s v="Connector"/>
    <x v="10"/>
    <n v="3849"/>
    <n v="3576"/>
    <d v="2026-02-03T00:00:00"/>
    <d v="2026-02-02T00:00:00"/>
    <n v="108"/>
    <n v="85"/>
    <n v="-1"/>
    <n v="1"/>
    <n v="0.92907248636009354"/>
    <n v="0.96979865771812079"/>
    <n v="303960"/>
    <n v="5.8823529411764705E-2"/>
    <n v="0"/>
    <n v="0.88263644752863135"/>
    <n v="1"/>
    <s v="Moderate"/>
  </r>
  <r>
    <s v="PO1064"/>
    <s v="V005"/>
    <x v="3"/>
    <s v="IC"/>
    <x v="11"/>
    <n v="307"/>
    <n v="286"/>
    <d v="2026-03-26T00:00:00"/>
    <d v="2026-03-26T00:00:00"/>
    <n v="6"/>
    <n v="199"/>
    <n v="0"/>
    <n v="1"/>
    <n v="0.9315960912052117"/>
    <n v="0.97902097902097907"/>
    <n v="56914"/>
    <n v="2.5125628140703519E-2"/>
    <n v="0"/>
    <n v="0.88253807476140633"/>
    <n v="1"/>
    <s v="Moderate"/>
  </r>
  <r>
    <s v="PO1114"/>
    <s v="V002"/>
    <x v="8"/>
    <s v="PCB"/>
    <x v="8"/>
    <n v="4640"/>
    <n v="4306"/>
    <d v="2026-09-19T00:00:00"/>
    <d v="2026-09-18T00:00:00"/>
    <n v="130"/>
    <n v="86"/>
    <n v="-1"/>
    <n v="1"/>
    <n v="0.9280172413793103"/>
    <n v="0.96980956804458895"/>
    <n v="370316"/>
    <n v="5.8139534883720929E-2"/>
    <n v="0"/>
    <n v="0.88236027217761082"/>
    <n v="1"/>
    <s v="Moderate"/>
  </r>
  <r>
    <s v="PO1214"/>
    <s v="V003"/>
    <x v="6"/>
    <s v="Capacitor"/>
    <x v="5"/>
    <n v="2668"/>
    <n v="2600"/>
    <d v="2026-04-04T00:00:00"/>
    <d v="2026-04-03T00:00:00"/>
    <n v="157"/>
    <n v="92"/>
    <n v="-1"/>
    <n v="1"/>
    <n v="0.97451274362818596"/>
    <n v="0.93961538461538463"/>
    <n v="239200"/>
    <n v="5.434782608695652E-2"/>
    <n v="0"/>
    <n v="0.88222194671894827"/>
    <n v="1"/>
    <s v="Moderate"/>
  </r>
  <r>
    <s v="PO1308"/>
    <s v="V007"/>
    <x v="5"/>
    <s v="Capacitor"/>
    <x v="9"/>
    <n v="3493"/>
    <n v="3239"/>
    <d v="2026-08-02T00:00:00"/>
    <d v="2026-07-31T00:00:00"/>
    <n v="130"/>
    <n v="57"/>
    <n v="-2"/>
    <n v="1"/>
    <n v="0.92728313770397941"/>
    <n v="0.9598641556035814"/>
    <n v="184623"/>
    <n v="8.771929824561403E-2"/>
    <n v="0"/>
    <n v="0.88218780404643171"/>
    <n v="1"/>
    <s v="Moderate"/>
  </r>
  <r>
    <s v="PO1090"/>
    <s v="V005"/>
    <x v="3"/>
    <s v="Capacitor"/>
    <x v="11"/>
    <n v="397"/>
    <n v="370"/>
    <d v="2026-03-16T00:00:00"/>
    <d v="2026-03-15T00:00:00"/>
    <n v="12"/>
    <n v="91"/>
    <n v="-1"/>
    <n v="1"/>
    <n v="0.93198992443324935"/>
    <n v="0.96756756756756757"/>
    <n v="33670"/>
    <n v="5.4945054945054944E-2"/>
    <n v="0"/>
    <n v="0.88216276065142574"/>
    <n v="1"/>
    <s v="Moderate"/>
  </r>
  <r>
    <s v="PO1280"/>
    <s v="V002"/>
    <x v="8"/>
    <s v="Capacitor"/>
    <x v="0"/>
    <n v="2301"/>
    <n v="2171"/>
    <d v="2026-12-25T00:00:00"/>
    <d v="2026-12-25T00:00:00"/>
    <n v="70"/>
    <n v="161"/>
    <n v="0"/>
    <n v="1"/>
    <n v="0.94350282485875703"/>
    <n v="0.96775679410409954"/>
    <n v="349531"/>
    <n v="3.1055900621118012E-2"/>
    <n v="0"/>
    <n v="0.8821331932650931"/>
    <n v="1"/>
    <s v="Moderate"/>
  </r>
  <r>
    <s v="PO1119"/>
    <s v="V002"/>
    <x v="8"/>
    <s v="Connector"/>
    <x v="4"/>
    <n v="2471"/>
    <n v="2329"/>
    <d v="2026-11-22T00:00:00"/>
    <d v="2026-11-22T00:00:00"/>
    <n v="72"/>
    <n v="185"/>
    <n v="0"/>
    <n v="1"/>
    <n v="0.94253338729259406"/>
    <n v="0.96908544439673683"/>
    <n v="430865"/>
    <n v="2.7027027027027029E-2"/>
    <n v="0"/>
    <n v="0.8819350134802425"/>
    <n v="1"/>
    <s v="Moderate"/>
  </r>
  <r>
    <s v="PO1471"/>
    <s v="V005"/>
    <x v="3"/>
    <s v="PCB"/>
    <x v="3"/>
    <n v="2850"/>
    <n v="2633"/>
    <d v="2026-01-23T00:00:00"/>
    <d v="2026-01-21T00:00:00"/>
    <n v="58"/>
    <n v="134"/>
    <n v="-2"/>
    <n v="1"/>
    <n v="0.92385964912280705"/>
    <n v="0.97797189517660466"/>
    <n v="352822"/>
    <n v="3.7313432835820892E-2"/>
    <n v="0"/>
    <n v="0.88189484166112486"/>
    <n v="1"/>
    <s v="Moderate"/>
  </r>
  <r>
    <s v="PO1039"/>
    <s v="V003"/>
    <x v="6"/>
    <s v="Connector"/>
    <x v="0"/>
    <n v="1272"/>
    <n v="1254"/>
    <d v="2026-12-21T00:00:00"/>
    <d v="2026-12-20T00:00:00"/>
    <n v="79"/>
    <n v="139"/>
    <n v="-1"/>
    <n v="1"/>
    <n v="0.98584905660377353"/>
    <n v="0.93700159489633172"/>
    <n v="174306"/>
    <n v="3.5971223021582732E-2"/>
    <n v="0"/>
    <n v="0.88186741209181252"/>
    <n v="1"/>
    <s v="Moderate"/>
  </r>
  <r>
    <s v="PO1142"/>
    <s v="V001"/>
    <x v="2"/>
    <s v="Capacitor"/>
    <x v="6"/>
    <n v="219"/>
    <n v="209"/>
    <d v="2026-06-22T00:00:00"/>
    <d v="2026-06-21T00:00:00"/>
    <n v="8"/>
    <n v="203"/>
    <n v="-1"/>
    <n v="1"/>
    <n v="0.954337899543379"/>
    <n v="0.96172248803827753"/>
    <n v="42427"/>
    <n v="2.4630541871921183E-2"/>
    <n v="0"/>
    <n v="0.88184738050735123"/>
    <n v="1"/>
    <s v="Moderate"/>
  </r>
  <r>
    <s v="PO1270"/>
    <s v="V009"/>
    <x v="7"/>
    <s v="PCB"/>
    <x v="3"/>
    <n v="3369"/>
    <n v="3280"/>
    <d v="2026-01-18T00:00:00"/>
    <d v="2026-01-18T00:00:00"/>
    <n v="230"/>
    <n v="63"/>
    <n v="0"/>
    <n v="1"/>
    <n v="0.97358266547937078"/>
    <n v="0.92987804878048785"/>
    <n v="206640"/>
    <n v="7.9365079365079361E-2"/>
    <n v="0"/>
    <n v="0.88161645566652846"/>
    <n v="1"/>
    <s v="Moderate"/>
  </r>
  <r>
    <s v="PO1295"/>
    <s v="V008"/>
    <x v="4"/>
    <s v="PCB"/>
    <x v="1"/>
    <n v="2451"/>
    <n v="2375"/>
    <d v="2026-07-25T00:00:00"/>
    <d v="2026-07-23T00:00:00"/>
    <n v="119"/>
    <n v="177"/>
    <n v="-2"/>
    <n v="1"/>
    <n v="0.96899224806201545"/>
    <n v="0.94989473684210524"/>
    <n v="420375"/>
    <n v="2.8248587570621469E-2"/>
    <n v="0"/>
    <n v="0.88159172942209685"/>
    <n v="1"/>
    <s v="Moderate"/>
  </r>
  <r>
    <s v="PO1341"/>
    <s v="V002"/>
    <x v="8"/>
    <s v="PCB"/>
    <x v="8"/>
    <n v="2587"/>
    <n v="2405"/>
    <d v="2026-09-20T00:00:00"/>
    <d v="2026-09-18T00:00:00"/>
    <n v="76"/>
    <n v="98"/>
    <n v="-2"/>
    <n v="1"/>
    <n v="0.92964824120603018"/>
    <n v="0.9683991683991684"/>
    <n v="235690"/>
    <n v="5.1020408163265307E-2"/>
    <n v="0"/>
    <n v="0.88155143957728299"/>
    <n v="1"/>
    <s v="Moderate"/>
  </r>
  <r>
    <s v="PO1060"/>
    <s v="V009"/>
    <x v="7"/>
    <s v="Connector"/>
    <x v="3"/>
    <n v="1198"/>
    <n v="1163"/>
    <d v="2026-01-21T00:00:00"/>
    <d v="2026-01-19T00:00:00"/>
    <n v="83"/>
    <n v="57"/>
    <n v="-2"/>
    <n v="1"/>
    <n v="0.97078464106844742"/>
    <n v="0.92863284608770424"/>
    <n v="66291"/>
    <n v="8.771929824561403E-2"/>
    <n v="0"/>
    <n v="0.88151871186456221"/>
    <n v="1"/>
    <s v="Moderate"/>
  </r>
  <r>
    <s v="PO1316"/>
    <s v="V005"/>
    <x v="3"/>
    <s v="Capacitor"/>
    <x v="9"/>
    <n v="4519"/>
    <n v="4161"/>
    <d v="2026-08-14T00:00:00"/>
    <d v="2026-08-14T00:00:00"/>
    <n v="84"/>
    <n v="155"/>
    <n v="0"/>
    <n v="1"/>
    <n v="0.9207789333923434"/>
    <n v="0.97981254506128335"/>
    <n v="644955"/>
    <n v="3.2258064516129031E-2"/>
    <n v="0"/>
    <n v="0.88132535664846645"/>
    <n v="1"/>
    <s v="Moderate"/>
  </r>
  <r>
    <s v="PO1065"/>
    <s v="V007"/>
    <x v="5"/>
    <s v="Capacitor"/>
    <x v="11"/>
    <n v="1173"/>
    <n v="1120"/>
    <d v="2026-03-02T00:00:00"/>
    <d v="2026-02-28T00:00:00"/>
    <n v="48"/>
    <n v="158"/>
    <n v="-2"/>
    <n v="1"/>
    <n v="0.95481670929241258"/>
    <n v="0.95714285714285718"/>
    <n v="176960"/>
    <n v="3.1645569620253167E-2"/>
    <n v="0"/>
    <n v="0.88127075596336502"/>
    <n v="1"/>
    <s v="Moderate"/>
  </r>
  <r>
    <s v="PO1048"/>
    <s v="V005"/>
    <x v="3"/>
    <s v="Capacitor"/>
    <x v="1"/>
    <n v="3565"/>
    <n v="3299"/>
    <d v="2026-07-25T00:00:00"/>
    <d v="2026-07-25T00:00:00"/>
    <n v="67"/>
    <n v="221"/>
    <n v="0"/>
    <n v="1"/>
    <n v="0.92538569424964934"/>
    <n v="0.97969081539860559"/>
    <n v="729079"/>
    <n v="2.2624434389140271E-2"/>
    <n v="0"/>
    <n v="0.88124682690842571"/>
    <n v="1"/>
    <s v="Moderate"/>
  </r>
  <r>
    <s v="PO1352"/>
    <s v="V008"/>
    <x v="4"/>
    <s v="IC"/>
    <x v="1"/>
    <n v="745"/>
    <n v="726"/>
    <d v="2026-07-19T00:00:00"/>
    <d v="2026-07-18T00:00:00"/>
    <n v="42"/>
    <n v="148"/>
    <n v="-1"/>
    <n v="1"/>
    <n v="0.97449664429530203"/>
    <n v="0.94214876033057848"/>
    <n v="107448"/>
    <n v="3.3783783783783786E-2"/>
    <n v="0"/>
    <n v="0.88092233533661235"/>
    <n v="1"/>
    <s v="Moderate"/>
  </r>
  <r>
    <s v="PO1190"/>
    <s v="V003"/>
    <x v="6"/>
    <s v="PCB"/>
    <x v="6"/>
    <n v="4354"/>
    <n v="4203"/>
    <d v="2026-06-21T00:00:00"/>
    <d v="2026-06-19T00:00:00"/>
    <n v="255"/>
    <n v="86"/>
    <n v="-2"/>
    <n v="1"/>
    <n v="0.96531924666972901"/>
    <n v="0.93932905067808703"/>
    <n v="361458"/>
    <n v="5.8139534883720929E-2"/>
    <n v="0"/>
    <n v="0.88067651802574409"/>
    <n v="1"/>
    <s v="Moderate"/>
  </r>
  <r>
    <s v="PO1087"/>
    <s v="V007"/>
    <x v="5"/>
    <s v="IC"/>
    <x v="5"/>
    <n v="2403"/>
    <n v="2219"/>
    <d v="2026-04-05T00:00:00"/>
    <d v="2026-04-05T00:00:00"/>
    <n v="90"/>
    <n v="62"/>
    <n v="0"/>
    <n v="1"/>
    <n v="0.92342904702455264"/>
    <n v="0.9594411897251014"/>
    <n v="137578"/>
    <n v="8.0645161290322578E-2"/>
    <n v="0"/>
    <n v="0.8805826824514732"/>
    <n v="1"/>
    <s v="Moderate"/>
  </r>
  <r>
    <s v="PO1446"/>
    <s v="V008"/>
    <x v="4"/>
    <s v="PCB"/>
    <x v="8"/>
    <n v="589"/>
    <n v="570"/>
    <d v="2026-09-27T00:00:00"/>
    <d v="2026-09-26T00:00:00"/>
    <n v="30"/>
    <n v="180"/>
    <n v="-1"/>
    <n v="1"/>
    <n v="0.967741935483871"/>
    <n v="0.94736842105263153"/>
    <n v="102600"/>
    <n v="2.7777777777777776E-2"/>
    <n v="0"/>
    <n v="0.8805366911903415"/>
    <n v="1"/>
    <s v="Moderate"/>
  </r>
  <r>
    <s v="PO1498"/>
    <s v="V006"/>
    <x v="9"/>
    <s v="PCB"/>
    <x v="10"/>
    <n v="3448"/>
    <n v="3431"/>
    <d v="2026-02-17T00:00:00"/>
    <d v="2026-02-15T00:00:00"/>
    <n v="416"/>
    <n v="28"/>
    <n v="-2"/>
    <n v="1"/>
    <n v="0.99506960556844548"/>
    <n v="0.87875255027688726"/>
    <n v="96068"/>
    <n v="0.17857142857142858"/>
    <n v="0"/>
    <n v="0.88049682905389814"/>
    <n v="1"/>
    <s v="Moderate"/>
  </r>
  <r>
    <s v="PO1018"/>
    <s v="V009"/>
    <x v="7"/>
    <s v="Connector"/>
    <x v="7"/>
    <n v="1805"/>
    <n v="1796"/>
    <d v="2026-10-10T00:00:00"/>
    <d v="2026-10-09T00:00:00"/>
    <n v="128"/>
    <n v="174"/>
    <n v="-1"/>
    <n v="1"/>
    <n v="0.99501385041551249"/>
    <n v="0.92873051224944325"/>
    <n v="312504"/>
    <n v="2.8735632183908046E-2"/>
    <n v="0"/>
    <n v="0.88049548697632629"/>
    <n v="1"/>
    <s v="Moderate"/>
  </r>
  <r>
    <s v="PO1401"/>
    <s v="V008"/>
    <x v="4"/>
    <s v="Capacitor"/>
    <x v="3"/>
    <n v="2744"/>
    <n v="2551"/>
    <d v="2026-01-30T00:00:00"/>
    <d v="2026-01-30T00:00:00"/>
    <n v="130"/>
    <n v="51"/>
    <n v="0"/>
    <n v="1"/>
    <n v="0.92966472303206993"/>
    <n v="0.94903959231673851"/>
    <n v="130101"/>
    <n v="9.8039215686274508E-2"/>
    <n v="0"/>
    <n v="0.880448743870063"/>
    <n v="1"/>
    <s v="Moderate"/>
  </r>
  <r>
    <s v="PO1120"/>
    <s v="V003"/>
    <x v="6"/>
    <s v="Connector"/>
    <x v="5"/>
    <n v="4826"/>
    <n v="4701"/>
    <d v="2026-04-03T00:00:00"/>
    <d v="2026-04-03T00:00:00"/>
    <n v="287"/>
    <n v="127"/>
    <n v="0"/>
    <n v="1"/>
    <n v="0.97409863240779115"/>
    <n v="0.938949159753244"/>
    <n v="597027"/>
    <n v="3.937007874015748E-2"/>
    <n v="0"/>
    <n v="0.88044148228154717"/>
    <n v="1"/>
    <s v="Moderate"/>
  </r>
  <r>
    <s v="PO1359"/>
    <s v="V008"/>
    <x v="4"/>
    <s v="IC"/>
    <x v="0"/>
    <n v="2722"/>
    <n v="2628"/>
    <d v="2026-12-01T00:00:00"/>
    <d v="2026-11-29T00:00:00"/>
    <n v="135"/>
    <n v="186"/>
    <n v="-2"/>
    <n v="1"/>
    <n v="0.96546656869948566"/>
    <n v="0.94863013698630139"/>
    <n v="488808"/>
    <n v="2.6881720430107527E-2"/>
    <n v="0"/>
    <n v="0.88037052687879824"/>
    <n v="1"/>
    <s v="Moderate"/>
  </r>
  <r>
    <s v="PO1395"/>
    <s v="V004"/>
    <x v="1"/>
    <s v="PCB"/>
    <x v="7"/>
    <n v="4146"/>
    <n v="4143"/>
    <d v="2026-10-16T00:00:00"/>
    <d v="2026-10-15T00:00:00"/>
    <n v="378"/>
    <n v="64"/>
    <n v="-1"/>
    <n v="1"/>
    <n v="0.9992764109985528"/>
    <n v="0.90876176683562637"/>
    <n v="265152"/>
    <n v="7.8125E-2"/>
    <n v="0"/>
    <n v="0.8802963122503985"/>
    <n v="1"/>
    <s v="Moderate"/>
  </r>
  <r>
    <s v="PO1218"/>
    <s v="V003"/>
    <x v="6"/>
    <s v="PCB"/>
    <x v="8"/>
    <n v="2700"/>
    <n v="2587"/>
    <d v="2026-09-05T00:00:00"/>
    <d v="2026-09-05T00:00:00"/>
    <n v="156"/>
    <n v="74"/>
    <n v="0"/>
    <n v="1"/>
    <n v="0.95814814814814819"/>
    <n v="0.93969849246231152"/>
    <n v="191438"/>
    <n v="6.7567567567567571E-2"/>
    <n v="0"/>
    <n v="0.88029593412507978"/>
    <n v="1"/>
    <s v="Moderate"/>
  </r>
  <r>
    <s v="PO1112"/>
    <s v="V007"/>
    <x v="5"/>
    <s v="Capacitor"/>
    <x v="3"/>
    <n v="4127"/>
    <n v="3923"/>
    <d v="2026-01-03T00:00:00"/>
    <d v="2026-01-02T00:00:00"/>
    <n v="159"/>
    <n v="218"/>
    <n v="-1"/>
    <n v="1"/>
    <n v="0.95056942088684271"/>
    <n v="0.95946979352536321"/>
    <n v="855214"/>
    <n v="2.2935779816513763E-2"/>
    <n v="0"/>
    <n v="0.88024840021662887"/>
    <n v="1"/>
    <s v="Moderate"/>
  </r>
  <r>
    <s v="PO1472"/>
    <s v="V007"/>
    <x v="5"/>
    <s v="Connector"/>
    <x v="7"/>
    <n v="3820"/>
    <n v="3568"/>
    <d v="2026-10-08T00:00:00"/>
    <d v="2026-10-06T00:00:00"/>
    <n v="148"/>
    <n v="87"/>
    <n v="-2"/>
    <n v="1"/>
    <n v="0.93403141361256548"/>
    <n v="0.95852017937219736"/>
    <n v="310416"/>
    <n v="5.7471264367816091E-2"/>
    <n v="0"/>
    <n v="0.88010946297095394"/>
    <n v="1"/>
    <s v="Moderate"/>
  </r>
  <r>
    <s v="PO1126"/>
    <s v="V009"/>
    <x v="7"/>
    <s v="PCB"/>
    <x v="2"/>
    <n v="3111"/>
    <n v="3076"/>
    <d v="2026-05-11T00:00:00"/>
    <d v="2026-05-09T00:00:00"/>
    <n v="218"/>
    <n v="140"/>
    <n v="-2"/>
    <n v="1"/>
    <n v="0.98874959819993569"/>
    <n v="0.92912873862158651"/>
    <n v="430640"/>
    <n v="3.5714285714285712E-2"/>
    <n v="0"/>
    <n v="0.88005996979789158"/>
    <n v="1"/>
    <s v="Moderate"/>
  </r>
  <r>
    <s v="PO1400"/>
    <s v="V003"/>
    <x v="6"/>
    <s v="PCB"/>
    <x v="4"/>
    <n v="1865"/>
    <n v="1763"/>
    <d v="2026-11-07T00:00:00"/>
    <d v="2026-11-06T00:00:00"/>
    <n v="111"/>
    <n v="51"/>
    <n v="-1"/>
    <n v="1"/>
    <n v="0.94530831099195711"/>
    <n v="0.93703913783323878"/>
    <n v="89913"/>
    <n v="9.8039215686274508E-2"/>
    <n v="0"/>
    <n v="0.87997732511699045"/>
    <n v="1"/>
    <s v="Moderate"/>
  </r>
  <r>
    <s v="PO1132"/>
    <s v="V003"/>
    <x v="6"/>
    <s v="Connector"/>
    <x v="5"/>
    <n v="4199"/>
    <n v="4023"/>
    <d v="2026-04-20T00:00:00"/>
    <d v="2026-04-20T00:00:00"/>
    <n v="246"/>
    <n v="75"/>
    <n v="0"/>
    <n v="1"/>
    <n v="0.95808525839485592"/>
    <n v="0.93885160328113348"/>
    <n v="301725"/>
    <n v="6.6666666666666666E-2"/>
    <n v="0"/>
    <n v="0.87993919932997799"/>
    <n v="1"/>
    <s v="Moderate"/>
  </r>
  <r>
    <s v="PO1275"/>
    <s v="V007"/>
    <x v="5"/>
    <s v="Capacitor"/>
    <x v="1"/>
    <n v="4796"/>
    <n v="4532"/>
    <d v="2026-07-16T00:00:00"/>
    <d v="2026-07-14T00:00:00"/>
    <n v="186"/>
    <n v="154"/>
    <n v="-2"/>
    <n v="1"/>
    <n v="0.94495412844036697"/>
    <n v="0.95895851721094438"/>
    <n v="697928"/>
    <n v="3.2467532467532464E-2"/>
    <n v="0"/>
    <n v="0.87992513409811002"/>
    <n v="1"/>
    <s v="Moderate"/>
  </r>
  <r>
    <s v="PO1135"/>
    <s v="V003"/>
    <x v="6"/>
    <s v="Capacitor"/>
    <x v="3"/>
    <n v="3133"/>
    <n v="3061"/>
    <d v="2026-01-09T00:00:00"/>
    <d v="2026-01-07T00:00:00"/>
    <n v="189"/>
    <n v="165"/>
    <n v="-2"/>
    <n v="1"/>
    <n v="0.97701883179061599"/>
    <n v="0.93825547206795168"/>
    <n v="505065"/>
    <n v="3.0303030303030304E-2"/>
    <n v="0"/>
    <n v="0.87991071100881169"/>
    <n v="1"/>
    <s v="Moderate"/>
  </r>
  <r>
    <s v="PO1307"/>
    <s v="V003"/>
    <x v="6"/>
    <s v="Connector"/>
    <x v="6"/>
    <n v="4822"/>
    <n v="4719"/>
    <d v="2026-06-14T00:00:00"/>
    <d v="2026-06-13T00:00:00"/>
    <n v="285"/>
    <n v="224"/>
    <n v="-1"/>
    <n v="1"/>
    <n v="0.97863956864371626"/>
    <n v="0.93960584869675778"/>
    <n v="1057056"/>
    <n v="2.2321428571428572E-2"/>
    <n v="0"/>
    <n v="0.87984181119491345"/>
    <n v="1"/>
    <s v="Moderate"/>
  </r>
  <r>
    <s v="PO1178"/>
    <s v="V007"/>
    <x v="5"/>
    <s v="Connector"/>
    <x v="6"/>
    <n v="998"/>
    <n v="952"/>
    <d v="2026-06-21T00:00:00"/>
    <d v="2026-06-20T00:00:00"/>
    <n v="44"/>
    <n v="172"/>
    <n v="-1"/>
    <n v="1"/>
    <n v="0.95390781563126248"/>
    <n v="0.95378151260504207"/>
    <n v="163744"/>
    <n v="2.9069767441860465E-2"/>
    <n v="0"/>
    <n v="0.87982299365195116"/>
    <n v="1"/>
    <s v="Moderate"/>
  </r>
  <r>
    <s v="PO1414"/>
    <s v="V008"/>
    <x v="4"/>
    <s v="Capacitor"/>
    <x v="0"/>
    <n v="4359"/>
    <n v="4189"/>
    <d v="2026-12-11T00:00:00"/>
    <d v="2026-12-11T00:00:00"/>
    <n v="210"/>
    <n v="190"/>
    <n v="0"/>
    <n v="1"/>
    <n v="0.96100022941041519"/>
    <n v="0.94986870374791121"/>
    <n v="795910"/>
    <n v="2.6315789473684209E-2"/>
    <n v="0"/>
    <n v="0.87979223595382483"/>
    <n v="1"/>
    <s v="Moderate"/>
  </r>
  <r>
    <s v="PO1468"/>
    <s v="V009"/>
    <x v="7"/>
    <s v="Capacitor"/>
    <x v="4"/>
    <n v="366"/>
    <n v="353"/>
    <d v="2026-11-25T00:00:00"/>
    <d v="2026-11-23T00:00:00"/>
    <n v="27"/>
    <n v="51"/>
    <n v="-2"/>
    <n v="1"/>
    <n v="0.96448087431693985"/>
    <n v="0.92351274787535409"/>
    <n v="18003"/>
    <n v="9.8039215686274508E-2"/>
    <n v="0"/>
    <n v="0.87975392079462167"/>
    <n v="1"/>
    <s v="Moderate"/>
  </r>
  <r>
    <s v="PO1088"/>
    <s v="V003"/>
    <x v="6"/>
    <s v="Connector"/>
    <x v="9"/>
    <n v="4975"/>
    <n v="4850"/>
    <d v="2026-08-31T00:00:00"/>
    <d v="2026-08-31T00:00:00"/>
    <n v="294"/>
    <n v="173"/>
    <n v="0"/>
    <n v="1"/>
    <n v="0.97487437185929648"/>
    <n v="0.93938144329896911"/>
    <n v="839050"/>
    <n v="2.8901734104046242E-2"/>
    <n v="0"/>
    <n v="0.87967948077195468"/>
    <n v="1"/>
    <s v="Moderate"/>
  </r>
  <r>
    <s v="PO1228"/>
    <s v="V002"/>
    <x v="8"/>
    <s v="Capacitor"/>
    <x v="9"/>
    <n v="984"/>
    <n v="915"/>
    <d v="2026-08-19T00:00:00"/>
    <d v="2026-08-17T00:00:00"/>
    <n v="31"/>
    <n v="130"/>
    <n v="-2"/>
    <n v="1"/>
    <n v="0.92987804878048785"/>
    <n v="0.96612021857923502"/>
    <n v="118950"/>
    <n v="3.8461538461538464E-2"/>
    <n v="0"/>
    <n v="0.87965782917602198"/>
    <n v="1"/>
    <s v="Moderate"/>
  </r>
  <r>
    <s v="PO1154"/>
    <s v="V003"/>
    <x v="6"/>
    <s v="Capacitor"/>
    <x v="1"/>
    <n v="2568"/>
    <n v="2484"/>
    <d v="2026-07-20T00:00:00"/>
    <d v="2026-07-20T00:00:00"/>
    <n v="155"/>
    <n v="105"/>
    <n v="0"/>
    <n v="1"/>
    <n v="0.96728971962616828"/>
    <n v="0.9376006441223832"/>
    <n v="260820"/>
    <n v="4.7619047619047616E-2"/>
    <n v="0"/>
    <n v="0.87950004192385334"/>
    <n v="1"/>
    <s v="Moderate"/>
  </r>
  <r>
    <s v="PO1074"/>
    <s v="V002"/>
    <x v="8"/>
    <s v="Capacitor"/>
    <x v="2"/>
    <n v="3069"/>
    <n v="2849"/>
    <d v="2026-05-02T00:00:00"/>
    <d v="2026-04-30T00:00:00"/>
    <n v="86"/>
    <n v="173"/>
    <n v="-2"/>
    <n v="1"/>
    <n v="0.92831541218637992"/>
    <n v="0.96981396981396983"/>
    <n v="492877"/>
    <n v="2.8901734104046242E-2"/>
    <n v="0"/>
    <n v="0.87949744679187158"/>
    <n v="1"/>
    <s v="Moderate"/>
  </r>
  <r>
    <s v="PO1398"/>
    <s v="V003"/>
    <x v="6"/>
    <s v="PCB"/>
    <x v="3"/>
    <n v="2875"/>
    <n v="2657"/>
    <d v="2026-01-24T00:00:00"/>
    <d v="2026-01-23T00:00:00"/>
    <n v="161"/>
    <n v="39"/>
    <n v="-1"/>
    <n v="1"/>
    <n v="0.92417391304347829"/>
    <n v="0.93940534437335343"/>
    <n v="103623"/>
    <n v="0.12820512820512819"/>
    <n v="0"/>
    <n v="0.87947689874121449"/>
    <n v="1"/>
    <s v="Moderate"/>
  </r>
  <r>
    <s v="PO1361"/>
    <s v="V007"/>
    <x v="5"/>
    <s v="IC"/>
    <x v="5"/>
    <n v="1434"/>
    <n v="1354"/>
    <d v="2026-04-07T00:00:00"/>
    <d v="2026-04-06T00:00:00"/>
    <n v="58"/>
    <n v="149"/>
    <n v="-1"/>
    <n v="1"/>
    <n v="0.94421199442119941"/>
    <n v="0.95716395864106352"/>
    <n v="201746"/>
    <n v="3.3557046979865772E-2"/>
    <n v="0"/>
    <n v="0.87934729117454558"/>
    <n v="1"/>
    <s v="Moderate"/>
  </r>
  <r>
    <s v="PO1053"/>
    <s v="V009"/>
    <x v="7"/>
    <s v="Connector"/>
    <x v="2"/>
    <n v="2553"/>
    <n v="2504"/>
    <d v="2026-05-22T00:00:00"/>
    <d v="2026-05-21T00:00:00"/>
    <n v="180"/>
    <n v="110"/>
    <n v="-1"/>
    <n v="1"/>
    <n v="0.98080689385037212"/>
    <n v="0.9281150159744409"/>
    <n v="275440"/>
    <n v="4.5454545454545456E-2"/>
    <n v="0"/>
    <n v="0.87914133810786133"/>
    <n v="1"/>
    <s v="Moderate"/>
  </r>
  <r>
    <s v="PO1207"/>
    <s v="V002"/>
    <x v="8"/>
    <s v="Capacitor"/>
    <x v="6"/>
    <n v="4020"/>
    <n v="3718"/>
    <d v="2026-06-12T00:00:00"/>
    <d v="2026-06-10T00:00:00"/>
    <n v="116"/>
    <n v="144"/>
    <n v="-2"/>
    <n v="1"/>
    <n v="0.92487562189054728"/>
    <n v="0.96880043033889185"/>
    <n v="535392"/>
    <n v="3.4722222222222224E-2"/>
    <n v="0"/>
    <n v="0.87908747570199919"/>
    <n v="1"/>
    <s v="Moderate"/>
  </r>
  <r>
    <s v="PO1378"/>
    <s v="V009"/>
    <x v="7"/>
    <s v="Capacitor"/>
    <x v="8"/>
    <n v="3240"/>
    <n v="3175"/>
    <d v="2026-09-04T00:00:00"/>
    <d v="2026-09-02T00:00:00"/>
    <n v="225"/>
    <n v="116"/>
    <n v="-2"/>
    <n v="1"/>
    <n v="0.97993827160493829"/>
    <n v="0.92913385826771655"/>
    <n v="368300"/>
    <n v="4.3103448275862072E-2"/>
    <n v="0"/>
    <n v="0.87903815662888873"/>
    <n v="1"/>
    <s v="Moderate"/>
  </r>
  <r>
    <s v="PO1480"/>
    <s v="V007"/>
    <x v="5"/>
    <s v="Connector"/>
    <x v="0"/>
    <n v="2276"/>
    <n v="2125"/>
    <d v="2026-12-17T00:00:00"/>
    <d v="2026-12-17T00:00:00"/>
    <n v="85"/>
    <n v="117"/>
    <n v="0"/>
    <n v="1"/>
    <n v="0.93365553602811946"/>
    <n v="0.96"/>
    <n v="248625"/>
    <n v="4.2735042735042736E-2"/>
    <n v="0"/>
    <n v="0.87900461147912812"/>
    <n v="1"/>
    <s v="Moderate"/>
  </r>
  <r>
    <s v="PO1171"/>
    <s v="V008"/>
    <x v="4"/>
    <s v="PCB"/>
    <x v="6"/>
    <n v="3138"/>
    <n v="3015"/>
    <d v="2026-06-19T00:00:00"/>
    <d v="2026-06-17T00:00:00"/>
    <n v="155"/>
    <n v="232"/>
    <n v="-2"/>
    <n v="1"/>
    <n v="0.96080305927342258"/>
    <n v="0.94859038142620233"/>
    <n v="699480"/>
    <n v="2.1551724137931036E-2"/>
    <n v="0"/>
    <n v="0.87889289869633846"/>
    <n v="1"/>
    <s v="Moderate"/>
  </r>
  <r>
    <s v="PO1151"/>
    <s v="V007"/>
    <x v="5"/>
    <s v="Connector"/>
    <x v="6"/>
    <n v="362"/>
    <n v="346"/>
    <d v="2026-06-21T00:00:00"/>
    <d v="2026-06-21T00:00:00"/>
    <n v="18"/>
    <n v="151"/>
    <n v="0"/>
    <n v="1"/>
    <n v="0.95580110497237569"/>
    <n v="0.94797687861271673"/>
    <n v="52246"/>
    <n v="3.3112582781456956E-2"/>
    <n v="0"/>
    <n v="0.87886454285643589"/>
    <n v="1"/>
    <s v="Moderate"/>
  </r>
  <r>
    <s v="PO1424"/>
    <s v="V003"/>
    <x v="6"/>
    <s v="PCB"/>
    <x v="2"/>
    <n v="2809"/>
    <n v="2684"/>
    <d v="2026-05-16T00:00:00"/>
    <d v="2026-05-15T00:00:00"/>
    <n v="166"/>
    <n v="80"/>
    <n v="-1"/>
    <n v="1"/>
    <n v="0.95550017799928799"/>
    <n v="0.93815201192250375"/>
    <n v="214720"/>
    <n v="6.25E-2"/>
    <n v="0"/>
    <n v="0.87879563917660863"/>
    <n v="1"/>
    <s v="Moderate"/>
  </r>
  <r>
    <s v="PO1003"/>
    <s v="V009"/>
    <x v="7"/>
    <s v="Connector"/>
    <x v="2"/>
    <n v="4165"/>
    <n v="4115"/>
    <d v="2026-05-16T00:00:00"/>
    <d v="2026-05-16T00:00:00"/>
    <n v="293"/>
    <n v="202"/>
    <n v="0"/>
    <n v="1"/>
    <n v="0.98799519807923164"/>
    <n v="0.92879708383961113"/>
    <n v="831230"/>
    <n v="2.4752475247524754E-2"/>
    <n v="0"/>
    <n v="0.87871341229248212"/>
    <n v="1"/>
    <s v="Moderate"/>
  </r>
  <r>
    <s v="PO1034"/>
    <s v="V008"/>
    <x v="4"/>
    <s v="PCB"/>
    <x v="6"/>
    <n v="1189"/>
    <n v="1133"/>
    <d v="2026-06-15T00:00:00"/>
    <d v="2026-06-14T00:00:00"/>
    <n v="59"/>
    <n v="135"/>
    <n v="-1"/>
    <n v="1"/>
    <n v="0.95290159798149709"/>
    <n v="0.94792586054721972"/>
    <n v="152955"/>
    <n v="3.7037037037037035E-2"/>
    <n v="0"/>
    <n v="0.87866178146416896"/>
    <n v="1"/>
    <s v="Moderate"/>
  </r>
  <r>
    <s v="PO1143"/>
    <s v="V003"/>
    <x v="6"/>
    <s v="PCB"/>
    <x v="9"/>
    <n v="235"/>
    <n v="221"/>
    <d v="2026-08-19T00:00:00"/>
    <d v="2026-08-17T00:00:00"/>
    <n v="15"/>
    <n v="46"/>
    <n v="-2"/>
    <n v="1"/>
    <n v="0.94042553191489364"/>
    <n v="0.9321266968325792"/>
    <n v="10166"/>
    <n v="0.10869565217391304"/>
    <n v="0"/>
    <n v="0.87859268065014384"/>
    <n v="1"/>
    <s v="Moderate"/>
  </r>
  <r>
    <s v="PO1078"/>
    <s v="V003"/>
    <x v="6"/>
    <s v="Capacitor"/>
    <x v="6"/>
    <n v="3657"/>
    <n v="3402"/>
    <d v="2026-06-03T00:00:00"/>
    <d v="2026-06-03T00:00:00"/>
    <n v="209"/>
    <n v="46"/>
    <n v="0"/>
    <n v="1"/>
    <n v="0.93027071369975389"/>
    <n v="0.93856554967666084"/>
    <n v="156492"/>
    <n v="0.10869565217391304"/>
    <n v="0"/>
    <n v="0.87849337286034046"/>
    <n v="1"/>
    <s v="Moderate"/>
  </r>
  <r>
    <s v="PO1016"/>
    <s v="V002"/>
    <x v="8"/>
    <s v="PCB"/>
    <x v="4"/>
    <n v="1724"/>
    <n v="1589"/>
    <d v="2026-11-08T00:00:00"/>
    <d v="2026-11-06T00:00:00"/>
    <n v="50"/>
    <n v="148"/>
    <n v="-2"/>
    <n v="1"/>
    <n v="0.92169373549883993"/>
    <n v="0.96853366897419757"/>
    <n v="235172"/>
    <n v="3.3783783783783786E-2"/>
    <n v="0"/>
    <n v="0.8782772261704056"/>
    <n v="1"/>
    <s v="Moderate"/>
  </r>
  <r>
    <s v="PO1041"/>
    <s v="V003"/>
    <x v="6"/>
    <s v="IC"/>
    <x v="0"/>
    <n v="429"/>
    <n v="416"/>
    <d v="2026-12-20T00:00:00"/>
    <d v="2026-12-18T00:00:00"/>
    <n v="26"/>
    <n v="162"/>
    <n v="-2"/>
    <n v="1"/>
    <n v="0.96969696969696972"/>
    <n v="0.9375"/>
    <n v="67392"/>
    <n v="3.0864197530864196E-2"/>
    <n v="0"/>
    <n v="0.87827581369248042"/>
    <n v="1"/>
    <s v="Moderate"/>
  </r>
  <r>
    <s v="PO1027"/>
    <s v="V007"/>
    <x v="5"/>
    <s v="PCB"/>
    <x v="3"/>
    <n v="799"/>
    <n v="752"/>
    <d v="2026-01-14T00:00:00"/>
    <d v="2026-01-13T00:00:00"/>
    <n v="34"/>
    <n v="140"/>
    <n v="-1"/>
    <n v="1"/>
    <n v="0.94117647058823528"/>
    <n v="0.95478723404255317"/>
    <n v="105280"/>
    <n v="3.5714285714285712E-2"/>
    <n v="0"/>
    <n v="0.87824289290184154"/>
    <n v="1"/>
    <s v="Moderate"/>
  </r>
  <r>
    <s v="PO1248"/>
    <s v="V009"/>
    <x v="7"/>
    <s v="PCB"/>
    <x v="0"/>
    <n v="2328"/>
    <n v="2287"/>
    <d v="2026-12-08T00:00:00"/>
    <d v="2026-12-06T00:00:00"/>
    <n v="161"/>
    <n v="175"/>
    <n v="-2"/>
    <n v="1"/>
    <n v="0.9823883161512027"/>
    <n v="0.92960209881941402"/>
    <n v="400225"/>
    <n v="2.8571428571428571E-2"/>
    <n v="0"/>
    <n v="0.87821543573320771"/>
    <n v="1"/>
    <s v="Moderate"/>
  </r>
  <r>
    <s v="PO1430"/>
    <s v="V009"/>
    <x v="7"/>
    <s v="Connector"/>
    <x v="11"/>
    <n v="2803"/>
    <n v="2763"/>
    <d v="2026-03-10T00:00:00"/>
    <d v="2026-03-09T00:00:00"/>
    <n v="195"/>
    <n v="229"/>
    <n v="-1"/>
    <n v="1"/>
    <n v="0.98572957545486983"/>
    <n v="0.92942453854505969"/>
    <n v="632727"/>
    <n v="2.1834061135371178E-2"/>
    <n v="0"/>
    <n v="0.87815668276802894"/>
    <n v="1"/>
    <s v="Moderate"/>
  </r>
  <r>
    <s v="PO1219"/>
    <s v="V004"/>
    <x v="1"/>
    <s v="IC"/>
    <x v="0"/>
    <n v="2386"/>
    <n v="2380"/>
    <d v="2026-12-01T00:00:00"/>
    <d v="2026-12-01T00:00:00"/>
    <n v="218"/>
    <n v="82"/>
    <n v="0"/>
    <n v="1"/>
    <n v="0.99748533109807214"/>
    <n v="0.90840336134453781"/>
    <n v="195160"/>
    <n v="6.097560975609756E-2"/>
    <n v="0"/>
    <n v="0.87811563559858552"/>
    <n v="1"/>
    <s v="Moderate"/>
  </r>
  <r>
    <s v="PO1201"/>
    <s v="V008"/>
    <x v="4"/>
    <s v="Connector"/>
    <x v="5"/>
    <n v="1840"/>
    <n v="1744"/>
    <d v="2026-04-01T00:00:00"/>
    <d v="2026-03-30T00:00:00"/>
    <n v="92"/>
    <n v="116"/>
    <n v="-2"/>
    <n v="1"/>
    <n v="0.94782608695652171"/>
    <n v="0.94724770642201839"/>
    <n v="202304"/>
    <n v="4.3103448275862072E-2"/>
    <n v="0"/>
    <n v="0.87804987414549607"/>
    <n v="1"/>
    <s v="Moderate"/>
  </r>
  <r>
    <s v="PO1047"/>
    <s v="V003"/>
    <x v="6"/>
    <s v="Connector"/>
    <x v="8"/>
    <n v="1449"/>
    <n v="1383"/>
    <d v="2026-09-02T00:00:00"/>
    <d v="2026-09-01T00:00:00"/>
    <n v="83"/>
    <n v="99"/>
    <n v="-1"/>
    <n v="1"/>
    <n v="0.95445134575569357"/>
    <n v="0.93998553868402024"/>
    <n v="136917"/>
    <n v="5.0505050505050504E-2"/>
    <n v="0"/>
    <n v="0.87793643580684988"/>
    <n v="1"/>
    <s v="Moderate"/>
  </r>
  <r>
    <s v="PO1210"/>
    <s v="V009"/>
    <x v="7"/>
    <s v="PCB"/>
    <x v="1"/>
    <n v="1297"/>
    <n v="1272"/>
    <d v="2026-07-30T00:00:00"/>
    <d v="2026-07-29T00:00:00"/>
    <n v="95"/>
    <n v="131"/>
    <n v="-1"/>
    <n v="1"/>
    <n v="0.98072474942174248"/>
    <n v="0.92531446540880502"/>
    <n v="166632"/>
    <n v="3.8167938931297711E-2"/>
    <n v="0"/>
    <n v="0.87755608340011981"/>
    <n v="1"/>
    <s v="Moderate"/>
  </r>
  <r>
    <s v="PO1006"/>
    <s v="V007"/>
    <x v="5"/>
    <s v="PCB"/>
    <x v="6"/>
    <n v="993"/>
    <n v="922"/>
    <d v="2026-06-19T00:00:00"/>
    <d v="2026-06-19T00:00:00"/>
    <n v="39"/>
    <n v="110"/>
    <n v="0"/>
    <n v="1"/>
    <n v="0.92849949647532726"/>
    <n v="0.95770065075921906"/>
    <n v="101420"/>
    <n v="4.5454545454545456E-2"/>
    <n v="0"/>
    <n v="0.8775555490682857"/>
    <n v="1"/>
    <s v="Moderate"/>
  </r>
  <r>
    <s v="PO1089"/>
    <s v="V003"/>
    <x v="6"/>
    <s v="Capacitor"/>
    <x v="10"/>
    <n v="207"/>
    <n v="207"/>
    <d v="2026-02-06T00:00:00"/>
    <d v="2026-02-04T00:00:00"/>
    <n v="17"/>
    <n v="231"/>
    <n v="-2"/>
    <n v="1"/>
    <n v="1"/>
    <n v="0.91787439613526567"/>
    <n v="47817"/>
    <n v="2.1645021645021644E-2"/>
    <n v="0"/>
    <n v="0.87752682100508184"/>
    <n v="1"/>
    <s v="Moderate"/>
  </r>
  <r>
    <s v="PO1054"/>
    <s v="V009"/>
    <x v="7"/>
    <s v="PCB"/>
    <x v="2"/>
    <n v="1756"/>
    <n v="1692"/>
    <d v="2026-05-29T00:00:00"/>
    <d v="2026-05-27T00:00:00"/>
    <n v="124"/>
    <n v="75"/>
    <n v="-2"/>
    <n v="1"/>
    <n v="0.96355353075170846"/>
    <n v="0.92671394799054374"/>
    <n v="126900"/>
    <n v="6.6666666666666666E-2"/>
    <n v="0"/>
    <n v="0.87739155721417161"/>
    <n v="1"/>
    <s v="Moderate"/>
  </r>
  <r>
    <s v="PO1489"/>
    <s v="V008"/>
    <x v="4"/>
    <s v="PCB"/>
    <x v="7"/>
    <n v="3572"/>
    <n v="3340"/>
    <d v="2026-10-24T00:00:00"/>
    <d v="2026-10-24T00:00:00"/>
    <n v="169"/>
    <n v="90"/>
    <n v="0"/>
    <n v="1"/>
    <n v="0.93505039193729"/>
    <n v="0.94940119760479047"/>
    <n v="300600"/>
    <n v="5.5555555555555552E-2"/>
    <n v="0"/>
    <n v="0.87738599322445066"/>
    <n v="1"/>
    <s v="Moderate"/>
  </r>
  <r>
    <s v="PO1073"/>
    <s v="V009"/>
    <x v="7"/>
    <s v="IC"/>
    <x v="3"/>
    <n v="3556"/>
    <n v="3429"/>
    <d v="2026-01-13T00:00:00"/>
    <d v="2026-01-12T00:00:00"/>
    <n v="245"/>
    <n v="84"/>
    <n v="-1"/>
    <n v="1"/>
    <n v="0.9642857142857143"/>
    <n v="0.92855059784193639"/>
    <n v="288036"/>
    <n v="5.9523809523809521E-2"/>
    <n v="0"/>
    <n v="0.87737470316210464"/>
    <n v="1"/>
    <s v="Moderate"/>
  </r>
  <r>
    <s v="PO1336"/>
    <s v="V006"/>
    <x v="9"/>
    <s v="IC"/>
    <x v="2"/>
    <n v="2480"/>
    <n v="2383"/>
    <d v="2026-05-06T00:00:00"/>
    <d v="2026-05-04T00:00:00"/>
    <n v="291"/>
    <n v="23"/>
    <n v="-2"/>
    <n v="1"/>
    <n v="0.96088709677419359"/>
    <n v="0.87788501888375992"/>
    <n v="54809"/>
    <n v="0.21739130434782608"/>
    <n v="0"/>
    <n v="0.87728205545474924"/>
    <n v="1"/>
    <s v="Moderate"/>
  </r>
  <r>
    <s v="PO1379"/>
    <s v="V008"/>
    <x v="4"/>
    <s v="Capacitor"/>
    <x v="8"/>
    <n v="2531"/>
    <n v="2375"/>
    <d v="2026-09-30T00:00:00"/>
    <d v="2026-09-28T00:00:00"/>
    <n v="124"/>
    <n v="97"/>
    <n v="-2"/>
    <n v="1"/>
    <n v="0.93836428289213747"/>
    <n v="0.94778947368421052"/>
    <n v="230375"/>
    <n v="5.1546391752577317E-2"/>
    <n v="0"/>
    <n v="0.87716433785894832"/>
    <n v="1"/>
    <s v="Moderate"/>
  </r>
  <r>
    <s v="PO1140"/>
    <s v="V007"/>
    <x v="5"/>
    <s v="Connector"/>
    <x v="8"/>
    <n v="3093"/>
    <n v="2882"/>
    <d v="2026-09-02T00:00:00"/>
    <d v="2026-09-02T00:00:00"/>
    <n v="117"/>
    <n v="170"/>
    <n v="0"/>
    <n v="1"/>
    <n v="0.9317814419657291"/>
    <n v="0.95940319222761972"/>
    <n v="489940"/>
    <n v="2.9411764705882353E-2"/>
    <n v="0"/>
    <n v="0.87711842253201988"/>
    <n v="1"/>
    <s v="Moderate"/>
  </r>
  <r>
    <s v="PO1423"/>
    <s v="V009"/>
    <x v="7"/>
    <s v="IC"/>
    <x v="0"/>
    <n v="2029"/>
    <n v="1910"/>
    <d v="2026-12-10T00:00:00"/>
    <d v="2026-12-08T00:00:00"/>
    <n v="136"/>
    <n v="49"/>
    <n v="-2"/>
    <n v="1"/>
    <n v="0.94135041892557914"/>
    <n v="0.92879581151832458"/>
    <n v="93590"/>
    <n v="0.10204081632653061"/>
    <n v="0"/>
    <n v="0.87711290887326643"/>
    <n v="1"/>
    <s v="Moderate"/>
  </r>
  <r>
    <s v="PO1383"/>
    <s v="V009"/>
    <x v="7"/>
    <s v="PCB"/>
    <x v="7"/>
    <n v="658"/>
    <n v="643"/>
    <d v="2026-10-31T00:00:00"/>
    <d v="2026-10-29T00:00:00"/>
    <n v="46"/>
    <n v="160"/>
    <n v="-2"/>
    <n v="1"/>
    <n v="0.97720364741641341"/>
    <n v="0.92846034214618978"/>
    <n v="102880"/>
    <n v="3.125E-2"/>
    <n v="0"/>
    <n v="0.87710383212713972"/>
    <n v="1"/>
    <s v="Moderate"/>
  </r>
  <r>
    <s v="PO1269"/>
    <s v="V007"/>
    <x v="5"/>
    <s v="Capacitor"/>
    <x v="8"/>
    <n v="4047"/>
    <n v="3780"/>
    <d v="2026-09-11T00:00:00"/>
    <d v="2026-09-10T00:00:00"/>
    <n v="154"/>
    <n v="206"/>
    <n v="-1"/>
    <n v="1"/>
    <n v="0.93402520385470722"/>
    <n v="0.95925925925925926"/>
    <n v="778680"/>
    <n v="2.4271844660194174E-2"/>
    <n v="0"/>
    <n v="0.87701000301473864"/>
    <n v="1"/>
    <s v="Moderate"/>
  </r>
  <r>
    <s v="PO1081"/>
    <s v="V009"/>
    <x v="7"/>
    <s v="IC"/>
    <x v="5"/>
    <n v="599"/>
    <n v="578"/>
    <d v="2026-04-02T00:00:00"/>
    <d v="2026-04-01T00:00:00"/>
    <n v="42"/>
    <n v="88"/>
    <n v="-1"/>
    <n v="1"/>
    <n v="0.96494156928213692"/>
    <n v="0.9273356401384083"/>
    <n v="50864"/>
    <n v="5.6818181818181816E-2"/>
    <n v="0"/>
    <n v="0.87687082407976813"/>
    <n v="1"/>
    <s v="Moderate"/>
  </r>
  <r>
    <s v="PO1488"/>
    <s v="V009"/>
    <x v="7"/>
    <s v="PCB"/>
    <x v="1"/>
    <n v="1544"/>
    <n v="1516"/>
    <d v="2026-07-27T00:00:00"/>
    <d v="2026-07-27T00:00:00"/>
    <n v="110"/>
    <n v="235"/>
    <n v="0"/>
    <n v="1"/>
    <n v="0.98186528497409331"/>
    <n v="0.92744063324538262"/>
    <n v="356260"/>
    <n v="2.1276595744680851E-2"/>
    <n v="0"/>
    <n v="0.87673290654290148"/>
    <n v="1"/>
    <s v="Moderate"/>
  </r>
  <r>
    <s v="PO1339"/>
    <s v="V009"/>
    <x v="7"/>
    <s v="IC"/>
    <x v="0"/>
    <n v="2706"/>
    <n v="2634"/>
    <d v="2026-12-19T00:00:00"/>
    <d v="2026-12-17T00:00:00"/>
    <n v="185"/>
    <n v="170"/>
    <n v="-2"/>
    <n v="1"/>
    <n v="0.97339246119733924"/>
    <n v="0.92976461655277143"/>
    <n v="447780"/>
    <n v="2.9411764705882353E-2"/>
    <n v="0"/>
    <n v="0.87654905367588754"/>
    <n v="1"/>
    <s v="Moderate"/>
  </r>
  <r>
    <s v="PO1085"/>
    <s v="V007"/>
    <x v="5"/>
    <s v="Capacitor"/>
    <x v="2"/>
    <n v="2221"/>
    <n v="2073"/>
    <d v="2026-05-10T00:00:00"/>
    <d v="2026-05-10T00:00:00"/>
    <n v="87"/>
    <n v="207"/>
    <n v="0"/>
    <n v="1"/>
    <n v="0.93336334984241331"/>
    <n v="0.95803183791606372"/>
    <n v="429111"/>
    <n v="2.4154589371980676E-2"/>
    <n v="0"/>
    <n v="0.87649768028049979"/>
    <n v="1"/>
    <s v="Moderate"/>
  </r>
  <r>
    <s v="PO1283"/>
    <s v="V008"/>
    <x v="4"/>
    <s v="Connector"/>
    <x v="11"/>
    <n v="4856"/>
    <n v="4567"/>
    <d v="2026-03-18T00:00:00"/>
    <d v="2026-03-18T00:00:00"/>
    <n v="232"/>
    <n v="140"/>
    <n v="0"/>
    <n v="1"/>
    <n v="0.94048599670510713"/>
    <n v="0.94920078826363041"/>
    <n v="639380"/>
    <n v="3.5714285714285712E-2"/>
    <n v="0"/>
    <n v="0.87642886439153911"/>
    <n v="1"/>
    <s v="Moderate"/>
  </r>
  <r>
    <s v="PO1077"/>
    <s v="V007"/>
    <x v="5"/>
    <s v="PCB"/>
    <x v="0"/>
    <n v="586"/>
    <n v="551"/>
    <d v="2026-12-07T00:00:00"/>
    <d v="2026-12-05T00:00:00"/>
    <n v="27"/>
    <n v="165"/>
    <n v="-2"/>
    <n v="1"/>
    <n v="0.94027303754266212"/>
    <n v="0.9509981851179673"/>
    <n v="90915"/>
    <n v="3.0303030303030304E-2"/>
    <n v="0"/>
    <n v="0.87638436607422565"/>
    <n v="1"/>
    <s v="Moderate"/>
  </r>
  <r>
    <s v="PO1425"/>
    <s v="V003"/>
    <x v="6"/>
    <s v="IC"/>
    <x v="10"/>
    <n v="1163"/>
    <n v="1120"/>
    <d v="2026-02-01T00:00:00"/>
    <d v="2026-02-01T00:00:00"/>
    <n v="72"/>
    <n v="171"/>
    <n v="0"/>
    <n v="1"/>
    <n v="0.96302665520206365"/>
    <n v="0.93571428571428572"/>
    <n v="191520"/>
    <n v="2.9239766081871343E-2"/>
    <n v="0"/>
    <n v="0.8762435933628856"/>
    <n v="1"/>
    <s v="Moderate"/>
  </r>
  <r>
    <s v="PO1419"/>
    <s v="V003"/>
    <x v="6"/>
    <s v="Capacitor"/>
    <x v="2"/>
    <n v="4926"/>
    <n v="4729"/>
    <d v="2026-05-26T00:00:00"/>
    <d v="2026-05-24T00:00:00"/>
    <n v="285"/>
    <n v="244"/>
    <n v="-2"/>
    <n v="1"/>
    <n v="0.9600081201786439"/>
    <n v="0.93973355889194332"/>
    <n v="1153876"/>
    <n v="2.0491803278688523E-2"/>
    <n v="0"/>
    <n v="0.87597087203118051"/>
    <n v="1"/>
    <s v="Moderate"/>
  </r>
  <r>
    <s v="PO1289"/>
    <s v="V003"/>
    <x v="6"/>
    <s v="Connector"/>
    <x v="1"/>
    <n v="2696"/>
    <n v="2575"/>
    <d v="2026-07-19T00:00:00"/>
    <d v="2026-07-17T00:00:00"/>
    <n v="156"/>
    <n v="185"/>
    <n v="-2"/>
    <n v="1"/>
    <n v="0.95511869436201779"/>
    <n v="0.93941747572815537"/>
    <n v="476375"/>
    <n v="2.7027027027027029E-2"/>
    <n v="0"/>
    <n v="0.87555168429355279"/>
    <n v="1"/>
    <s v="Moderate"/>
  </r>
  <r>
    <s v="PO1173"/>
    <s v="V007"/>
    <x v="5"/>
    <s v="Capacitor"/>
    <x v="9"/>
    <n v="1150"/>
    <n v="1074"/>
    <d v="2026-08-24T00:00:00"/>
    <d v="2026-08-24T00:00:00"/>
    <n v="48"/>
    <n v="246"/>
    <n v="0"/>
    <n v="1"/>
    <n v="0.93391304347826087"/>
    <n v="0.95530726256983245"/>
    <n v="264204"/>
    <n v="2.032520325203252E-2"/>
    <n v="0"/>
    <n v="0.8754073077918052"/>
    <n v="1"/>
    <s v="Moderate"/>
  </r>
  <r>
    <s v="PO1148"/>
    <s v="V004"/>
    <x v="1"/>
    <s v="Connector"/>
    <x v="1"/>
    <n v="4153"/>
    <n v="4103"/>
    <d v="2026-07-01T00:00:00"/>
    <d v="2026-06-29T00:00:00"/>
    <n v="371"/>
    <n v="103"/>
    <n v="-2"/>
    <n v="1"/>
    <n v="0.98796051047435585"/>
    <n v="0.90957835729953695"/>
    <n v="422609"/>
    <n v="4.8543689320388349E-2"/>
    <n v="0"/>
    <n v="0.8753199782167711"/>
    <n v="1"/>
    <s v="Moderate"/>
  </r>
  <r>
    <s v="PO1452"/>
    <s v="V009"/>
    <x v="7"/>
    <s v="Capacitor"/>
    <x v="10"/>
    <n v="4626"/>
    <n v="4452"/>
    <d v="2026-02-25T00:00:00"/>
    <d v="2026-02-24T00:00:00"/>
    <n v="316"/>
    <n v="121"/>
    <n v="-1"/>
    <n v="1"/>
    <n v="0.96238651102464334"/>
    <n v="0.92902066486972146"/>
    <n v="538692"/>
    <n v="4.1322314049586778E-2"/>
    <n v="0"/>
    <n v="0.87531573307080379"/>
    <n v="1"/>
    <s v="Moderate"/>
  </r>
  <r>
    <s v="PO1387"/>
    <s v="V008"/>
    <x v="4"/>
    <s v="PCB"/>
    <x v="11"/>
    <n v="4795"/>
    <n v="4451"/>
    <d v="2026-03-11T00:00:00"/>
    <d v="2026-03-09T00:00:00"/>
    <n v="228"/>
    <n v="101"/>
    <n v="-2"/>
    <n v="1"/>
    <n v="0.92825860271115745"/>
    <n v="0.94877555605481911"/>
    <n v="449551"/>
    <n v="4.9504950495049507E-2"/>
    <n v="0"/>
    <n v="0.87523488240818215"/>
    <n v="1"/>
    <s v="Moderate"/>
  </r>
  <r>
    <s v="PO1412"/>
    <s v="V004"/>
    <x v="1"/>
    <s v="Connector"/>
    <x v="4"/>
    <n v="3749"/>
    <n v="3690"/>
    <d v="2026-11-24T00:00:00"/>
    <d v="2026-11-22T00:00:00"/>
    <n v="333"/>
    <n v="92"/>
    <n v="-2"/>
    <n v="1"/>
    <n v="0.98426246999199785"/>
    <n v="0.90975609756097564"/>
    <n v="339480"/>
    <n v="5.434782608695652E-2"/>
    <n v="0"/>
    <n v="0.87521410587538795"/>
    <n v="1"/>
    <s v="Moderate"/>
  </r>
  <r>
    <s v="PO1320"/>
    <s v="V007"/>
    <x v="5"/>
    <s v="IC"/>
    <x v="1"/>
    <n v="210"/>
    <n v="203"/>
    <d v="2026-07-10T00:00:00"/>
    <d v="2026-07-10T00:00:00"/>
    <n v="14"/>
    <n v="199"/>
    <n v="0"/>
    <n v="1"/>
    <n v="0.96666666666666667"/>
    <n v="0.93103448275862066"/>
    <n v="40397"/>
    <n v="2.5125628140703519E-2"/>
    <n v="0"/>
    <n v="0.8751562409749899"/>
    <n v="1"/>
    <s v="Moderate"/>
  </r>
  <r>
    <s v="PO1382"/>
    <s v="V004"/>
    <x v="1"/>
    <s v="Capacitor"/>
    <x v="6"/>
    <n v="460"/>
    <n v="460"/>
    <d v="2026-06-30T00:00:00"/>
    <d v="2026-06-29T00:00:00"/>
    <n v="43"/>
    <n v="158"/>
    <n v="-1"/>
    <n v="1"/>
    <n v="1"/>
    <n v="0.90652173913043477"/>
    <n v="72680"/>
    <n v="3.1645569620253167E-2"/>
    <n v="0"/>
    <n v="0.87512107870115585"/>
    <n v="1"/>
    <s v="Moderate"/>
  </r>
  <r>
    <s v="PO1217"/>
    <s v="V009"/>
    <x v="7"/>
    <s v="Connector"/>
    <x v="5"/>
    <n v="975"/>
    <n v="919"/>
    <d v="2026-04-09T00:00:00"/>
    <d v="2026-04-07T00:00:00"/>
    <n v="65"/>
    <n v="64"/>
    <n v="-2"/>
    <n v="1"/>
    <n v="0.94256410256410261"/>
    <n v="0.92927094668117516"/>
    <n v="58816"/>
    <n v="7.8125E-2"/>
    <n v="0"/>
    <n v="0.87510660451717315"/>
    <n v="1"/>
    <s v="Moderate"/>
  </r>
  <r>
    <s v="PO1453"/>
    <s v="V008"/>
    <x v="4"/>
    <s v="PCB"/>
    <x v="7"/>
    <n v="4671"/>
    <n v="4393"/>
    <d v="2026-10-23T00:00:00"/>
    <d v="2026-10-23T00:00:00"/>
    <n v="223"/>
    <n v="231"/>
    <n v="0"/>
    <n v="1"/>
    <n v="0.9404838364375937"/>
    <n v="0.94923742317323012"/>
    <n v="1014783"/>
    <n v="2.1645021645021644E-2"/>
    <n v="0"/>
    <n v="0.87503249640398995"/>
    <n v="1"/>
    <s v="Moderate"/>
  </r>
  <r>
    <s v="PO1377"/>
    <s v="V004"/>
    <x v="1"/>
    <s v="Capacitor"/>
    <x v="1"/>
    <n v="4669"/>
    <n v="4616"/>
    <d v="2026-07-14T00:00:00"/>
    <d v="2026-07-14T00:00:00"/>
    <n v="416"/>
    <n v="116"/>
    <n v="0"/>
    <n v="1"/>
    <n v="0.98864853287641896"/>
    <n v="0.90987868284228768"/>
    <n v="535456"/>
    <n v="4.3103448275862072E-2"/>
    <n v="0"/>
    <n v="0.87500365625555632"/>
    <n v="1"/>
    <s v="Moderate"/>
  </r>
  <r>
    <s v="PO1107"/>
    <s v="V003"/>
    <x v="6"/>
    <s v="Capacitor"/>
    <x v="5"/>
    <n v="834"/>
    <n v="793"/>
    <d v="2026-04-20T00:00:00"/>
    <d v="2026-04-19T00:00:00"/>
    <n v="48"/>
    <n v="170"/>
    <n v="-1"/>
    <n v="1"/>
    <n v="0.95083932853717024"/>
    <n v="0.93947036569987386"/>
    <n v="134810"/>
    <n v="2.9411764705882353E-2"/>
    <n v="0"/>
    <n v="0.87495015188798442"/>
    <n v="1"/>
    <s v="Moderate"/>
  </r>
  <r>
    <s v="PO1481"/>
    <s v="V009"/>
    <x v="7"/>
    <s v="IC"/>
    <x v="10"/>
    <n v="3167"/>
    <n v="3030"/>
    <d v="2026-02-15T00:00:00"/>
    <d v="2026-02-14T00:00:00"/>
    <n v="215"/>
    <n v="105"/>
    <n v="-1"/>
    <n v="1"/>
    <n v="0.95674139564256389"/>
    <n v="0.92904290429042902"/>
    <n v="318150"/>
    <n v="4.7619047619047616E-2"/>
    <n v="0"/>
    <n v="0.87482305517754622"/>
    <n v="1"/>
    <s v="Moderate"/>
  </r>
  <r>
    <s v="PO1168"/>
    <s v="V003"/>
    <x v="6"/>
    <s v="PCB"/>
    <x v="3"/>
    <n v="1153"/>
    <n v="1103"/>
    <d v="2026-01-20T00:00:00"/>
    <d v="2026-01-18T00:00:00"/>
    <n v="70"/>
    <n v="205"/>
    <n v="-2"/>
    <n v="1"/>
    <n v="0.9566348655680833"/>
    <n v="0.93653671804170446"/>
    <n v="226115"/>
    <n v="2.4390243902439025E-2"/>
    <n v="0"/>
    <n v="0.874727012916372"/>
    <n v="1"/>
    <s v="Moderate"/>
  </r>
  <r>
    <s v="PO1252"/>
    <s v="V009"/>
    <x v="7"/>
    <s v="Capacitor"/>
    <x v="7"/>
    <n v="444"/>
    <n v="414"/>
    <d v="2026-10-20T00:00:00"/>
    <d v="2026-10-18T00:00:00"/>
    <n v="30"/>
    <n v="51"/>
    <n v="-2"/>
    <n v="1"/>
    <n v="0.93243243243243246"/>
    <n v="0.92753623188405798"/>
    <n v="21114"/>
    <n v="9.8039215686274508E-2"/>
    <n v="0"/>
    <n v="0.87455127762033136"/>
    <n v="1"/>
    <s v="Moderate"/>
  </r>
  <r>
    <s v="PO1370"/>
    <s v="V004"/>
    <x v="1"/>
    <s v="Capacitor"/>
    <x v="1"/>
    <n v="4501"/>
    <n v="4466"/>
    <d v="2026-07-17T00:00:00"/>
    <d v="2026-07-16T00:00:00"/>
    <n v="405"/>
    <n v="166"/>
    <n v="-1"/>
    <n v="1"/>
    <n v="0.99222395023328147"/>
    <n v="0.90931482310792655"/>
    <n v="741356"/>
    <n v="3.0120481927710843E-2"/>
    <n v="0"/>
    <n v="0.87425128517180539"/>
    <n v="1"/>
    <s v="Moderate"/>
  </r>
  <r>
    <s v="PO1328"/>
    <s v="V004"/>
    <x v="1"/>
    <s v="Capacitor"/>
    <x v="1"/>
    <n v="907"/>
    <n v="906"/>
    <d v="2026-07-23T00:00:00"/>
    <d v="2026-07-22T00:00:00"/>
    <n v="86"/>
    <n v="177"/>
    <n v="-1"/>
    <n v="1"/>
    <n v="0.9988974641675854"/>
    <n v="0.90507726269315669"/>
    <n v="160362"/>
    <n v="2.8248587570621469E-2"/>
    <n v="0"/>
    <n v="0.8741275303985262"/>
    <n v="1"/>
    <s v="Moderate"/>
  </r>
  <r>
    <s v="PO1474"/>
    <s v="V009"/>
    <x v="7"/>
    <s v="PCB"/>
    <x v="3"/>
    <n v="655"/>
    <n v="634"/>
    <d v="2026-01-05T00:00:00"/>
    <d v="2026-01-03T00:00:00"/>
    <n v="48"/>
    <n v="159"/>
    <n v="-2"/>
    <n v="1"/>
    <n v="0.96793893129770991"/>
    <n v="0.9242902208201893"/>
    <n v="100806"/>
    <n v="3.1446540880503145E-2"/>
    <n v="0"/>
    <n v="0.87401950659364913"/>
    <n v="1"/>
    <s v="Moderate"/>
  </r>
  <r>
    <s v="PO1298"/>
    <s v="V003"/>
    <x v="6"/>
    <s v="Capacitor"/>
    <x v="7"/>
    <n v="2951"/>
    <n v="2759"/>
    <d v="2026-10-15T00:00:00"/>
    <d v="2026-10-13T00:00:00"/>
    <n v="167"/>
    <n v="97"/>
    <n v="-2"/>
    <n v="1"/>
    <n v="0.93493730938664854"/>
    <n v="0.93947082276187022"/>
    <n v="267623"/>
    <n v="5.1546391752577317E-2"/>
    <n v="0"/>
    <n v="0.87398334788114851"/>
    <n v="1"/>
    <s v="Moderate"/>
  </r>
  <r>
    <s v="PO1432"/>
    <s v="V004"/>
    <x v="1"/>
    <s v="IC"/>
    <x v="7"/>
    <n v="4106"/>
    <n v="4073"/>
    <d v="2026-10-08T00:00:00"/>
    <d v="2026-10-06T00:00:00"/>
    <n v="372"/>
    <n v="172"/>
    <n v="-2"/>
    <n v="1"/>
    <n v="0.99196298100340963"/>
    <n v="0.90866683034618223"/>
    <n v="700556"/>
    <n v="2.9069767441860465E-2"/>
    <n v="0"/>
    <n v="0.87389962204872262"/>
    <n v="1"/>
    <s v="Moderate"/>
  </r>
  <r>
    <s v="PO1469"/>
    <s v="V009"/>
    <x v="7"/>
    <s v="IC"/>
    <x v="11"/>
    <n v="491"/>
    <n v="480"/>
    <d v="2026-03-07T00:00:00"/>
    <d v="2026-03-07T00:00:00"/>
    <n v="38"/>
    <n v="240"/>
    <n v="0"/>
    <n v="1"/>
    <n v="0.9775967413441955"/>
    <n v="0.92083333333333328"/>
    <n v="115200"/>
    <n v="2.0833333333333332E-2"/>
    <n v="0"/>
    <n v="0.87385268160217244"/>
    <n v="1"/>
    <s v="Moderate"/>
  </r>
  <r>
    <s v="PO1182"/>
    <s v="V009"/>
    <x v="7"/>
    <s v="Connector"/>
    <x v="2"/>
    <n v="456"/>
    <n v="434"/>
    <d v="2026-05-23T00:00:00"/>
    <d v="2026-05-22T00:00:00"/>
    <n v="32"/>
    <n v="89"/>
    <n v="-1"/>
    <n v="1"/>
    <n v="0.95175438596491224"/>
    <n v="0.92626728110599077"/>
    <n v="38626"/>
    <n v="5.6179775280898875E-2"/>
    <n v="0"/>
    <n v="0.87384903905286959"/>
    <n v="1"/>
    <s v="Moderate"/>
  </r>
  <r>
    <s v="PO1156"/>
    <s v="V009"/>
    <x v="7"/>
    <s v="IC"/>
    <x v="0"/>
    <n v="1366"/>
    <n v="1301"/>
    <d v="2026-12-31T00:00:00"/>
    <d v="2026-12-31T00:00:00"/>
    <n v="93"/>
    <n v="104"/>
    <n v="0"/>
    <n v="1"/>
    <n v="0.95241581259150809"/>
    <n v="0.92851652574942356"/>
    <n v="135304"/>
    <n v="4.807692307692308E-2"/>
    <n v="0"/>
    <n v="0.87384581255082105"/>
    <n v="1"/>
    <s v="Moderate"/>
  </r>
  <r>
    <s v="PO1216"/>
    <s v="V003"/>
    <x v="6"/>
    <s v="IC"/>
    <x v="2"/>
    <n v="618"/>
    <n v="589"/>
    <d v="2026-05-20T00:00:00"/>
    <d v="2026-05-18T00:00:00"/>
    <n v="38"/>
    <n v="201"/>
    <n v="-2"/>
    <n v="1"/>
    <n v="0.95307443365695788"/>
    <n v="0.93548387096774188"/>
    <n v="118389"/>
    <n v="2.4875621890547265E-2"/>
    <n v="0"/>
    <n v="0.87374761021076897"/>
    <n v="1"/>
    <s v="Moderate"/>
  </r>
  <r>
    <s v="PO1134"/>
    <s v="V004"/>
    <x v="1"/>
    <s v="Connector"/>
    <x v="7"/>
    <n v="610"/>
    <n v="562"/>
    <d v="2026-10-28T00:00:00"/>
    <d v="2026-10-28T00:00:00"/>
    <n v="52"/>
    <n v="29"/>
    <n v="0"/>
    <n v="1"/>
    <n v="0.92131147540983604"/>
    <n v="0.90747330960854089"/>
    <n v="16298"/>
    <n v="0.17241379310344829"/>
    <n v="0"/>
    <n v="0.87374566727487435"/>
    <n v="1"/>
    <s v="Moderate"/>
  </r>
  <r>
    <s v="PO1447"/>
    <s v="V009"/>
    <x v="7"/>
    <s v="Connector"/>
    <x v="4"/>
    <n v="3662"/>
    <n v="3453"/>
    <d v="2026-11-16T00:00:00"/>
    <d v="2026-11-15T00:00:00"/>
    <n v="245"/>
    <n v="80"/>
    <n v="-1"/>
    <n v="1"/>
    <n v="0.94292736209721462"/>
    <n v="0.92904720532869967"/>
    <n v="276240"/>
    <n v="6.25E-2"/>
    <n v="0"/>
    <n v="0.87354963401805275"/>
    <n v="1"/>
    <s v="Moderate"/>
  </r>
  <r>
    <s v="PO1486"/>
    <s v="V003"/>
    <x v="6"/>
    <s v="PCB"/>
    <x v="6"/>
    <n v="3042"/>
    <n v="2867"/>
    <d v="2026-06-02T00:00:00"/>
    <d v="2026-06-01T00:00:00"/>
    <n v="175"/>
    <n v="150"/>
    <n v="-1"/>
    <n v="1"/>
    <n v="0.94247205785667321"/>
    <n v="0.93896058597837462"/>
    <n v="430050"/>
    <n v="3.3333333333333333E-2"/>
    <n v="0"/>
    <n v="0.87351592069818029"/>
    <n v="1"/>
    <s v="Moderate"/>
  </r>
  <r>
    <s v="PO1333"/>
    <s v="V003"/>
    <x v="6"/>
    <s v="Capacitor"/>
    <x v="3"/>
    <n v="2812"/>
    <n v="2625"/>
    <d v="2026-01-07T00:00:00"/>
    <d v="2026-01-06T00:00:00"/>
    <n v="160"/>
    <n v="104"/>
    <n v="-1"/>
    <n v="1"/>
    <n v="0.9334992887624467"/>
    <n v="0.93904761904761902"/>
    <n v="273000"/>
    <n v="4.807692307692308E-2"/>
    <n v="0"/>
    <n v="0.87322183577446733"/>
    <n v="1"/>
    <s v="Moderate"/>
  </r>
  <r>
    <s v="PO1487"/>
    <s v="V004"/>
    <x v="1"/>
    <s v="PCB"/>
    <x v="0"/>
    <n v="2709"/>
    <n v="2641"/>
    <d v="2026-12-26T00:00:00"/>
    <d v="2026-12-24T00:00:00"/>
    <n v="241"/>
    <n v="91"/>
    <n v="-2"/>
    <n v="1"/>
    <n v="0.97489848652639355"/>
    <n v="0.90874668686103743"/>
    <n v="240331"/>
    <n v="5.4945054945054944E-2"/>
    <n v="0"/>
    <n v="0.87309820885809553"/>
    <n v="1"/>
    <s v="Moderate"/>
  </r>
  <r>
    <s v="PO1420"/>
    <s v="V004"/>
    <x v="1"/>
    <s v="IC"/>
    <x v="11"/>
    <n v="3031"/>
    <n v="3000"/>
    <d v="2026-03-01T00:00:00"/>
    <d v="2026-02-28T00:00:00"/>
    <n v="271"/>
    <n v="231"/>
    <n v="-1"/>
    <n v="1"/>
    <n v="0.98977235235895744"/>
    <n v="0.90966666666666662"/>
    <n v="693000"/>
    <n v="2.1645021645021644E-2"/>
    <n v="0"/>
    <n v="0.87301897263629369"/>
    <n v="1"/>
    <s v="Moderate"/>
  </r>
  <r>
    <s v="PO1058"/>
    <s v="V004"/>
    <x v="1"/>
    <s v="Connector"/>
    <x v="11"/>
    <n v="3051"/>
    <n v="2945"/>
    <d v="2026-03-31T00:00:00"/>
    <d v="2026-03-31T00:00:00"/>
    <n v="267"/>
    <n v="70"/>
    <n v="0"/>
    <n v="1"/>
    <n v="0.96525729269092098"/>
    <n v="0.90933786078098477"/>
    <n v="206150"/>
    <n v="7.1428571428571425E-2"/>
    <n v="0"/>
    <n v="0.87299567391533672"/>
    <n v="1"/>
    <s v="Moderate"/>
  </r>
  <r>
    <s v="PO1093"/>
    <s v="V004"/>
    <x v="1"/>
    <s v="Connector"/>
    <x v="3"/>
    <n v="2772"/>
    <n v="2748"/>
    <d v="2026-01-18T00:00:00"/>
    <d v="2026-01-16T00:00:00"/>
    <n v="251"/>
    <n v="238"/>
    <n v="-2"/>
    <n v="1"/>
    <n v="0.9913419913419913"/>
    <n v="0.90866084425036386"/>
    <n v="654024"/>
    <n v="2.100840336134454E-2"/>
    <n v="0"/>
    <n v="0.87296749187964184"/>
    <n v="1"/>
    <s v="Moderate"/>
  </r>
  <r>
    <s v="PO1211"/>
    <s v="V008"/>
    <x v="4"/>
    <s v="Capacitor"/>
    <x v="8"/>
    <n v="1470"/>
    <n v="1355"/>
    <d v="2026-09-22T00:00:00"/>
    <d v="2026-09-21T00:00:00"/>
    <n v="72"/>
    <n v="110"/>
    <n v="-1"/>
    <n v="1"/>
    <n v="0.92176870748299322"/>
    <n v="0.9468634686346864"/>
    <n v="149050"/>
    <n v="4.5454545454545456E-2"/>
    <n v="0"/>
    <n v="0.87295823663245908"/>
    <n v="1"/>
    <s v="Moderate"/>
  </r>
  <r>
    <s v="PO1302"/>
    <s v="V008"/>
    <x v="4"/>
    <s v="Connector"/>
    <x v="2"/>
    <n v="1140"/>
    <n v="1061"/>
    <d v="2026-05-28T00:00:00"/>
    <d v="2026-05-26T00:00:00"/>
    <n v="57"/>
    <n v="179"/>
    <n v="-2"/>
    <n v="1"/>
    <n v="0.93070175438596492"/>
    <n v="0.94627709707822805"/>
    <n v="189919"/>
    <n v="2.7932960893854747E-2"/>
    <n v="0"/>
    <n v="0.87281677609004693"/>
    <n v="1"/>
    <s v="Moderate"/>
  </r>
  <r>
    <s v="PO1330"/>
    <s v="V004"/>
    <x v="1"/>
    <s v="IC"/>
    <x v="1"/>
    <n v="809"/>
    <n v="800"/>
    <d v="2026-07-25T00:00:00"/>
    <d v="2026-07-23T00:00:00"/>
    <n v="72"/>
    <n v="250"/>
    <n v="-2"/>
    <n v="1"/>
    <n v="0.9888751545117429"/>
    <n v="0.91"/>
    <n v="200000"/>
    <n v="0.02"/>
    <n v="0"/>
    <n v="0.87277503090234865"/>
    <n v="1"/>
    <s v="Moderate"/>
  </r>
  <r>
    <s v="PO1157"/>
    <s v="V004"/>
    <x v="1"/>
    <s v="Connector"/>
    <x v="7"/>
    <n v="876"/>
    <n v="857"/>
    <d v="2026-10-07T00:00:00"/>
    <d v="2026-10-05T00:00:00"/>
    <n v="78"/>
    <n v="118"/>
    <n v="-2"/>
    <n v="1"/>
    <n v="0.97831050228310501"/>
    <n v="0.90898483080513415"/>
    <n v="101126"/>
    <n v="4.2372881355932202E-2"/>
    <n v="0"/>
    <n v="0.87259483783375447"/>
    <n v="1"/>
    <s v="Moderate"/>
  </r>
  <r>
    <s v="PO1117"/>
    <s v="V003"/>
    <x v="6"/>
    <s v="PCB"/>
    <x v="2"/>
    <n v="4600"/>
    <n v="4261"/>
    <d v="2026-05-06T00:00:00"/>
    <d v="2026-05-05T00:00:00"/>
    <n v="261"/>
    <n v="90"/>
    <n v="-1"/>
    <n v="1"/>
    <n v="0.92630434782608695"/>
    <n v="0.93874677305796761"/>
    <n v="383490"/>
    <n v="5.5555555555555552E-2"/>
    <n v="0"/>
    <n v="0.8724404570381632"/>
    <n v="1"/>
    <s v="Moderate"/>
  </r>
  <r>
    <s v="PO1485"/>
    <s v="V004"/>
    <x v="1"/>
    <s v="Connector"/>
    <x v="3"/>
    <n v="4005"/>
    <n v="3882"/>
    <d v="2026-01-10T00:00:00"/>
    <d v="2026-01-09T00:00:00"/>
    <n v="350"/>
    <n v="89"/>
    <n v="-1"/>
    <n v="1"/>
    <n v="0.96928838951310858"/>
    <n v="0.90984028851107679"/>
    <n v="345498"/>
    <n v="5.6179775280898875E-2"/>
    <n v="0"/>
    <n v="0.87242774198403472"/>
    <n v="1"/>
    <s v="Moderate"/>
  </r>
  <r>
    <s v="PO1072"/>
    <s v="V009"/>
    <x v="7"/>
    <s v="Connector"/>
    <x v="10"/>
    <n v="2533"/>
    <n v="2418"/>
    <d v="2026-02-15T00:00:00"/>
    <d v="2026-02-13T00:00:00"/>
    <n v="173"/>
    <n v="172"/>
    <n v="-2"/>
    <n v="1"/>
    <n v="0.95459928938018157"/>
    <n v="0.92845326716294463"/>
    <n v="415896"/>
    <n v="2.9069767441860465E-2"/>
    <n v="0"/>
    <n v="0.87236281476910582"/>
    <n v="1"/>
    <s v="Moderate"/>
  </r>
  <r>
    <s v="PO1080"/>
    <s v="V009"/>
    <x v="7"/>
    <s v="Capacitor"/>
    <x v="9"/>
    <n v="1541"/>
    <n v="1481"/>
    <d v="2026-08-24T00:00:00"/>
    <d v="2026-08-24T00:00:00"/>
    <n v="109"/>
    <n v="237"/>
    <n v="0"/>
    <n v="1"/>
    <n v="0.96106424399740431"/>
    <n v="0.92640108035111413"/>
    <n v="350997"/>
    <n v="2.1097046413502109E-2"/>
    <n v="0"/>
    <n v="0.87224287754616525"/>
    <n v="1"/>
    <s v="Moderate"/>
  </r>
  <r>
    <s v="PO1408"/>
    <s v="V009"/>
    <x v="7"/>
    <s v="IC"/>
    <x v="10"/>
    <n v="1731"/>
    <n v="1654"/>
    <d v="2026-02-06T00:00:00"/>
    <d v="2026-02-04T00:00:00"/>
    <n v="116"/>
    <n v="241"/>
    <n v="-2"/>
    <n v="1"/>
    <n v="0.95551704217215483"/>
    <n v="0.92986698911729138"/>
    <n v="398614"/>
    <n v="2.0746887966804978E-2"/>
    <n v="0"/>
    <n v="0.87213819396629888"/>
    <n v="1"/>
    <s v="Moderate"/>
  </r>
  <r>
    <s v="PO1318"/>
    <s v="V004"/>
    <x v="1"/>
    <s v="PCB"/>
    <x v="11"/>
    <n v="4196"/>
    <n v="4052"/>
    <d v="2026-03-24T00:00:00"/>
    <d v="2026-03-23T00:00:00"/>
    <n v="367"/>
    <n v="84"/>
    <n v="-1"/>
    <n v="1"/>
    <n v="0.96568160152526217"/>
    <n v="0.90942744323790725"/>
    <n v="340368"/>
    <n v="5.9523809523809521E-2"/>
    <n v="0"/>
    <n v="0.87191693422880556"/>
    <n v="1"/>
    <s v="Moderate"/>
  </r>
  <r>
    <s v="PO1206"/>
    <s v="V009"/>
    <x v="7"/>
    <s v="Connector"/>
    <x v="4"/>
    <n v="4534"/>
    <n v="4289"/>
    <d v="2026-11-14T00:00:00"/>
    <d v="2026-11-13T00:00:00"/>
    <n v="303"/>
    <n v="128"/>
    <n v="-1"/>
    <n v="1"/>
    <n v="0.94596382884869867"/>
    <n v="0.92935416180927954"/>
    <n v="548992"/>
    <n v="3.90625E-2"/>
    <n v="0"/>
    <n v="0.87190526431252369"/>
    <n v="1"/>
    <s v="Moderate"/>
  </r>
  <r>
    <s v="PO1235"/>
    <s v="V003"/>
    <x v="6"/>
    <s v="Capacitor"/>
    <x v="9"/>
    <n v="496"/>
    <n v="473"/>
    <d v="2026-08-19T00:00:00"/>
    <d v="2026-08-19T00:00:00"/>
    <n v="34"/>
    <n v="191"/>
    <n v="0"/>
    <n v="1"/>
    <n v="0.9536290322580645"/>
    <n v="0.92811839323467227"/>
    <n v="90343"/>
    <n v="2.6178010471204188E-2"/>
    <n v="0"/>
    <n v="0.87177912546913505"/>
    <n v="1"/>
    <s v="Moderate"/>
  </r>
  <r>
    <s v="PO1360"/>
    <s v="V003"/>
    <x v="6"/>
    <s v="Connector"/>
    <x v="4"/>
    <n v="4978"/>
    <n v="4654"/>
    <d v="2026-11-15T00:00:00"/>
    <d v="2026-11-15T00:00:00"/>
    <n v="281"/>
    <n v="178"/>
    <n v="0"/>
    <n v="1"/>
    <n v="0.93491361992768185"/>
    <n v="0.9396218306832832"/>
    <n v="828412"/>
    <n v="2.8089887640449437E-2"/>
    <n v="0"/>
    <n v="0.87167826195456632"/>
    <n v="1"/>
    <s v="Moderate"/>
  </r>
  <r>
    <s v="PO1131"/>
    <s v="V004"/>
    <x v="1"/>
    <s v="IC"/>
    <x v="0"/>
    <n v="743"/>
    <n v="730"/>
    <d v="2026-12-14T00:00:00"/>
    <d v="2026-12-13T00:00:00"/>
    <n v="67"/>
    <n v="192"/>
    <n v="-1"/>
    <n v="1"/>
    <n v="0.98250336473755051"/>
    <n v="0.90821917808219177"/>
    <n v="140160"/>
    <n v="2.6041666666666668E-2"/>
    <n v="0"/>
    <n v="0.87157059303883433"/>
    <n v="1"/>
    <s v="Moderate"/>
  </r>
  <r>
    <s v="PO1439"/>
    <s v="V004"/>
    <x v="1"/>
    <s v="PCB"/>
    <x v="9"/>
    <n v="1865"/>
    <n v="1831"/>
    <d v="2026-08-10T00:00:00"/>
    <d v="2026-08-09T00:00:00"/>
    <n v="167"/>
    <n v="195"/>
    <n v="-1"/>
    <n v="1"/>
    <n v="0.981769436997319"/>
    <n v="0.90879300928454398"/>
    <n v="357045"/>
    <n v="2.564102564102564E-2"/>
    <n v="0"/>
    <n v="0.87155589274892964"/>
    <n v="1"/>
    <s v="Moderate"/>
  </r>
  <r>
    <s v="PO1305"/>
    <s v="V004"/>
    <x v="1"/>
    <s v="Connector"/>
    <x v="9"/>
    <n v="1148"/>
    <n v="1130"/>
    <d v="2026-08-25T00:00:00"/>
    <d v="2026-08-24T00:00:00"/>
    <n v="105"/>
    <n v="214"/>
    <n v="-1"/>
    <n v="1"/>
    <n v="0.98432055749128922"/>
    <n v="0.90707964601769908"/>
    <n v="241820"/>
    <n v="2.336448598130841E-2"/>
    <n v="0"/>
    <n v="0.87132445390169855"/>
    <n v="1"/>
    <s v="Moderate"/>
  </r>
  <r>
    <s v="PO1325"/>
    <s v="V006"/>
    <x v="9"/>
    <s v="IC"/>
    <x v="7"/>
    <n v="4064"/>
    <n v="4060"/>
    <d v="2026-10-25T00:00:00"/>
    <d v="2026-10-25T00:00:00"/>
    <n v="488"/>
    <n v="66"/>
    <n v="0"/>
    <n v="1"/>
    <n v="0.99901574803149606"/>
    <n v="0.87980295566502464"/>
    <n v="267960"/>
    <n v="7.575757575757576E-2"/>
    <n v="0"/>
    <n v="0.87131979388156411"/>
    <n v="1"/>
    <s v="Moderate"/>
  </r>
  <r>
    <s v="PO1338"/>
    <s v="V004"/>
    <x v="1"/>
    <s v="Capacitor"/>
    <x v="8"/>
    <n v="1451"/>
    <n v="1409"/>
    <d v="2026-09-22T00:00:00"/>
    <d v="2026-09-21T00:00:00"/>
    <n v="131"/>
    <n v="101"/>
    <n v="-1"/>
    <n v="1"/>
    <n v="0.9710544452101999"/>
    <n v="0.90702625975869411"/>
    <n v="142309"/>
    <n v="4.9504950495049507E-2"/>
    <n v="0"/>
    <n v="0.87126926201915311"/>
    <n v="1"/>
    <s v="Moderate"/>
  </r>
  <r>
    <s v="PO1086"/>
    <s v="V003"/>
    <x v="6"/>
    <s v="PCB"/>
    <x v="9"/>
    <n v="3251"/>
    <n v="3038"/>
    <d v="2026-08-16T00:00:00"/>
    <d v="2026-08-14T00:00:00"/>
    <n v="185"/>
    <n v="197"/>
    <n v="-2"/>
    <n v="1"/>
    <n v="0.93448169793909563"/>
    <n v="0.93910467412771559"/>
    <n v="598486"/>
    <n v="2.5380710659898477E-2"/>
    <n v="0"/>
    <n v="0.87116581289212369"/>
    <n v="1"/>
    <s v="Moderate"/>
  </r>
  <r>
    <s v="PO1123"/>
    <s v="V006"/>
    <x v="9"/>
    <s v="Connector"/>
    <x v="4"/>
    <n v="4245"/>
    <n v="4124"/>
    <d v="2026-11-04T00:00:00"/>
    <d v="2026-11-03T00:00:00"/>
    <n v="496"/>
    <n v="40"/>
    <n v="-1"/>
    <n v="1"/>
    <n v="0.97149587750294464"/>
    <n v="0.87972841901066923"/>
    <n v="164960"/>
    <n v="0.125"/>
    <n v="0"/>
    <n v="0.87071770120378966"/>
    <n v="1"/>
    <s v="Moderate"/>
  </r>
  <r>
    <s v="PO1152"/>
    <s v="V003"/>
    <x v="6"/>
    <s v="Connector"/>
    <x v="7"/>
    <n v="3789"/>
    <n v="3509"/>
    <d v="2026-10-10T00:00:00"/>
    <d v="2026-10-08T00:00:00"/>
    <n v="215"/>
    <n v="133"/>
    <n v="-2"/>
    <n v="1"/>
    <n v="0.92610187384534182"/>
    <n v="0.93872898261612991"/>
    <n v="466697"/>
    <n v="3.7593984962406013E-2"/>
    <n v="0"/>
    <n v="0.87059846805014807"/>
    <n v="1"/>
    <s v="Moderate"/>
  </r>
  <r>
    <s v="PO1273"/>
    <s v="V009"/>
    <x v="7"/>
    <s v="PCB"/>
    <x v="6"/>
    <n v="1152"/>
    <n v="1064"/>
    <d v="2026-06-10T00:00:00"/>
    <d v="2026-06-10T00:00:00"/>
    <n v="75"/>
    <n v="73"/>
    <n v="0"/>
    <n v="1"/>
    <n v="0.92361111111111116"/>
    <n v="0.92951127819548873"/>
    <n v="77672"/>
    <n v="6.8493150684931503E-2"/>
    <n v="0"/>
    <n v="0.87042492074936206"/>
    <n v="1"/>
    <s v="Moderate"/>
  </r>
  <r>
    <s v="PO1326"/>
    <s v="V004"/>
    <x v="1"/>
    <s v="Connector"/>
    <x v="10"/>
    <n v="3861"/>
    <n v="3562"/>
    <d v="2026-02-03T00:00:00"/>
    <d v="2026-02-01T00:00:00"/>
    <n v="326"/>
    <n v="38"/>
    <n v="-2"/>
    <n v="1"/>
    <n v="0.92255892255892258"/>
    <n v="0.90847838293093763"/>
    <n v="135356"/>
    <n v="0.13157894736842105"/>
    <n v="0"/>
    <n v="0.87021319412790799"/>
    <n v="1"/>
    <s v="Moderate"/>
  </r>
  <r>
    <s v="PO1136"/>
    <s v="V003"/>
    <x v="6"/>
    <s v="Capacitor"/>
    <x v="3"/>
    <n v="1731"/>
    <n v="1609"/>
    <d v="2026-01-11T00:00:00"/>
    <d v="2026-01-09T00:00:00"/>
    <n v="99"/>
    <n v="190"/>
    <n v="-2"/>
    <n v="1"/>
    <n v="0.92952050837666089"/>
    <n v="0.9384711000621504"/>
    <n v="305710"/>
    <n v="2.6315789473684209E-2"/>
    <n v="0"/>
    <n v="0.87007701064134579"/>
    <n v="1"/>
    <s v="Moderate"/>
  </r>
  <r>
    <s v="PO1434"/>
    <s v="V009"/>
    <x v="7"/>
    <s v="Capacitor"/>
    <x v="10"/>
    <n v="1090"/>
    <n v="1025"/>
    <d v="2026-02-03T00:00:00"/>
    <d v="2026-02-01T00:00:00"/>
    <n v="75"/>
    <n v="134"/>
    <n v="-2"/>
    <n v="1"/>
    <n v="0.94036697247706424"/>
    <n v="0.92682926829268297"/>
    <n v="137350"/>
    <n v="3.7313432835820892E-2"/>
    <n v="0"/>
    <n v="0.8698535182667998"/>
    <n v="1"/>
    <s v="Moderate"/>
  </r>
  <r>
    <s v="PO1369"/>
    <s v="V003"/>
    <x v="6"/>
    <s v="Connector"/>
    <x v="10"/>
    <n v="4773"/>
    <n v="4433"/>
    <d v="2026-02-06T00:00:00"/>
    <d v="2026-02-05T00:00:00"/>
    <n v="271"/>
    <n v="214"/>
    <n v="-1"/>
    <n v="1"/>
    <n v="0.92876597527760318"/>
    <n v="0.93886758402887438"/>
    <n v="948662"/>
    <n v="2.336448598130841E-2"/>
    <n v="0"/>
    <n v="0.8697499188623139"/>
    <n v="1"/>
    <s v="Moderate"/>
  </r>
  <r>
    <s v="PO1188"/>
    <s v="V003"/>
    <x v="6"/>
    <s v="Connector"/>
    <x v="5"/>
    <n v="1510"/>
    <n v="1392"/>
    <d v="2026-04-07T00:00:00"/>
    <d v="2026-04-07T00:00:00"/>
    <n v="85"/>
    <n v="145"/>
    <n v="0"/>
    <n v="1"/>
    <n v="0.92185430463576157"/>
    <n v="0.93893678160919536"/>
    <n v="201840"/>
    <n v="3.4482758620689655E-2"/>
    <n v="0"/>
    <n v="0.86950017127197998"/>
    <n v="1"/>
    <s v="Moderate"/>
  </r>
  <r>
    <s v="PO1029"/>
    <s v="V004"/>
    <x v="1"/>
    <s v="Connector"/>
    <x v="0"/>
    <n v="3882"/>
    <n v="3752"/>
    <d v="2026-12-30T00:00:00"/>
    <d v="2026-12-28T00:00:00"/>
    <n v="340"/>
    <n v="161"/>
    <n v="-2"/>
    <n v="1"/>
    <n v="0.96651210716125713"/>
    <n v="0.90938166311300639"/>
    <n v="604072"/>
    <n v="3.1055900621118012E-2"/>
    <n v="0"/>
    <n v="0.86922251042826515"/>
    <n v="1"/>
    <s v="Moderate"/>
  </r>
  <r>
    <s v="PO1191"/>
    <s v="V004"/>
    <x v="1"/>
    <s v="Connector"/>
    <x v="7"/>
    <n v="1736"/>
    <n v="1670"/>
    <d v="2026-10-01T00:00:00"/>
    <d v="2026-09-30T00:00:00"/>
    <n v="153"/>
    <n v="119"/>
    <n v="-1"/>
    <n v="1"/>
    <n v="0.96198156682027647"/>
    <n v="0.90838323353293415"/>
    <n v="198730"/>
    <n v="4.2016806722689079E-2"/>
    <n v="0"/>
    <n v="0.86911296409620442"/>
    <n v="1"/>
    <s v="Moderate"/>
  </r>
  <r>
    <s v="PO1427"/>
    <s v="V006"/>
    <x v="9"/>
    <s v="Connector"/>
    <x v="10"/>
    <n v="3409"/>
    <n v="3312"/>
    <d v="2026-02-03T00:00:00"/>
    <d v="2026-02-01T00:00:00"/>
    <n v="401"/>
    <n v="46"/>
    <n v="-2"/>
    <n v="1"/>
    <n v="0.97154590789087714"/>
    <n v="0.87892512077294682"/>
    <n v="152352"/>
    <n v="0.10869565217391304"/>
    <n v="0"/>
    <n v="0.86885628302745088"/>
    <n v="1"/>
    <s v="Moderate"/>
  </r>
  <r>
    <s v="PO1403"/>
    <s v="V003"/>
    <x v="6"/>
    <s v="PCB"/>
    <x v="7"/>
    <n v="2428"/>
    <n v="2234"/>
    <d v="2026-10-23T00:00:00"/>
    <d v="2026-10-23T00:00:00"/>
    <n v="135"/>
    <n v="174"/>
    <n v="0"/>
    <n v="1"/>
    <n v="0.92009884678747944"/>
    <n v="0.93957027752909583"/>
    <n v="388716"/>
    <n v="2.8735632183908046E-2"/>
    <n v="0"/>
    <n v="0.86876441583461539"/>
    <n v="1"/>
    <s v="Moderate"/>
  </r>
  <r>
    <s v="PO1125"/>
    <s v="V004"/>
    <x v="1"/>
    <s v="IC"/>
    <x v="5"/>
    <n v="438"/>
    <n v="409"/>
    <d v="2026-04-04T00:00:00"/>
    <d v="2026-04-04T00:00:00"/>
    <n v="39"/>
    <n v="48"/>
    <n v="0"/>
    <n v="1"/>
    <n v="0.93378995433789957"/>
    <n v="0.90464547677261609"/>
    <n v="19632"/>
    <n v="0.10416666666666667"/>
    <n v="0"/>
    <n v="0.8685683005660314"/>
    <n v="1"/>
    <s v="Moderate"/>
  </r>
  <r>
    <s v="PO1215"/>
    <s v="V004"/>
    <x v="1"/>
    <s v="IC"/>
    <x v="0"/>
    <n v="3926"/>
    <n v="3787"/>
    <d v="2026-12-08T00:00:00"/>
    <d v="2026-12-08T00:00:00"/>
    <n v="343"/>
    <n v="225"/>
    <n v="0"/>
    <n v="1"/>
    <n v="0.9645950076413653"/>
    <n v="0.90942698706099812"/>
    <n v="852075"/>
    <n v="2.2222222222222223E-2"/>
    <n v="0"/>
    <n v="0.86796931986879489"/>
    <n v="1"/>
    <s v="Moderate"/>
  </r>
  <r>
    <s v="PO1292"/>
    <s v="V009"/>
    <x v="7"/>
    <s v="Connector"/>
    <x v="7"/>
    <n v="3228"/>
    <n v="3013"/>
    <d v="2026-10-10T00:00:00"/>
    <d v="2026-10-08T00:00:00"/>
    <n v="214"/>
    <n v="202"/>
    <n v="-2"/>
    <n v="1"/>
    <n v="0.93339529120198261"/>
    <n v="0.92897444407567209"/>
    <n v="608626"/>
    <n v="2.4752475247524754E-2"/>
    <n v="0"/>
    <n v="0.86784663898785064"/>
    <n v="1"/>
    <s v="Moderate"/>
  </r>
  <r>
    <s v="PO1342"/>
    <s v="V006"/>
    <x v="9"/>
    <s v="Capacitor"/>
    <x v="2"/>
    <n v="665"/>
    <n v="665"/>
    <d v="2026-05-03T00:00:00"/>
    <d v="2026-05-03T00:00:00"/>
    <n v="82"/>
    <n v="106"/>
    <n v="0"/>
    <n v="1"/>
    <n v="1"/>
    <n v="0.8766917293233083"/>
    <n v="70490"/>
    <n v="4.716981132075472E-2"/>
    <n v="0"/>
    <n v="0.86772449992906808"/>
    <n v="1"/>
    <s v="Moderate"/>
  </r>
  <r>
    <s v="PO1331"/>
    <s v="V004"/>
    <x v="1"/>
    <s v="IC"/>
    <x v="0"/>
    <n v="3413"/>
    <n v="3157"/>
    <d v="2026-12-31T00:00:00"/>
    <d v="2026-12-31T00:00:00"/>
    <n v="287"/>
    <n v="51"/>
    <n v="0"/>
    <n v="1"/>
    <n v="0.92499267506592442"/>
    <n v="0.90909090909090906"/>
    <n v="161007"/>
    <n v="9.8039215686274508E-2"/>
    <n v="0"/>
    <n v="0.86752972930908501"/>
    <n v="1"/>
    <s v="Moderate"/>
  </r>
  <r>
    <s v="PO1159"/>
    <s v="V006"/>
    <x v="9"/>
    <s v="Connector"/>
    <x v="5"/>
    <n v="3310"/>
    <n v="3302"/>
    <d v="2026-04-20T00:00:00"/>
    <d v="2026-04-20T00:00:00"/>
    <n v="399"/>
    <n v="124"/>
    <n v="0"/>
    <n v="1"/>
    <n v="0.99758308157099695"/>
    <n v="0.87916414294367051"/>
    <n v="409448"/>
    <n v="4.0322580645161289E-2"/>
    <n v="0"/>
    <n v="0.8672981172618166"/>
    <n v="1"/>
    <s v="Moderate"/>
  </r>
  <r>
    <s v="PO1327"/>
    <s v="V009"/>
    <x v="7"/>
    <s v="PCB"/>
    <x v="4"/>
    <n v="4849"/>
    <n v="4499"/>
    <d v="2026-11-17T00:00:00"/>
    <d v="2026-11-16T00:00:00"/>
    <n v="316"/>
    <n v="189"/>
    <n v="-1"/>
    <n v="1"/>
    <n v="0.92782016910703236"/>
    <n v="0.92976216937097134"/>
    <n v="850311"/>
    <n v="2.6455026455026454E-2"/>
    <n v="0"/>
    <n v="0.86713818727820058"/>
    <n v="1"/>
    <s v="Moderate"/>
  </r>
  <r>
    <s v="PO1084"/>
    <s v="V009"/>
    <x v="7"/>
    <s v="PCB"/>
    <x v="5"/>
    <n v="3420"/>
    <n v="3188"/>
    <d v="2026-04-16T00:00:00"/>
    <d v="2026-04-16T00:00:00"/>
    <n v="229"/>
    <n v="242"/>
    <n v="0"/>
    <n v="1"/>
    <n v="0.93216374269005853"/>
    <n v="0.928168130489335"/>
    <n v="771496"/>
    <n v="2.0661157024793389E-2"/>
    <n v="0"/>
    <n v="0.86694930338729159"/>
    <n v="1"/>
    <s v="Moderate"/>
  </r>
  <r>
    <s v="PO1209"/>
    <s v="V004"/>
    <x v="1"/>
    <s v="PCB"/>
    <x v="11"/>
    <n v="2700"/>
    <n v="2597"/>
    <d v="2026-03-30T00:00:00"/>
    <d v="2026-03-29T00:00:00"/>
    <n v="238"/>
    <n v="248"/>
    <n v="-1"/>
    <n v="1"/>
    <n v="0.96185185185185185"/>
    <n v="0.90835579514824794"/>
    <n v="644056"/>
    <n v="2.0161290322580645E-2"/>
    <n v="0"/>
    <n v="0.86689323794710293"/>
    <n v="1"/>
    <s v="Moderate"/>
  </r>
  <r>
    <s v="PO1329"/>
    <s v="V006"/>
    <x v="9"/>
    <s v="Connector"/>
    <x v="11"/>
    <n v="1833"/>
    <n v="1821"/>
    <d v="2026-03-16T00:00:00"/>
    <d v="2026-03-15T00:00:00"/>
    <n v="219"/>
    <n v="131"/>
    <n v="-1"/>
    <n v="1"/>
    <n v="0.99345335515548283"/>
    <n v="0.87973640856672153"/>
    <n v="238551"/>
    <n v="3.8167938931297711E-2"/>
    <n v="0"/>
    <n v="0.86642838749424278"/>
    <n v="1"/>
    <s v="Moderate"/>
  </r>
  <r>
    <s v="PO1375"/>
    <s v="V004"/>
    <x v="1"/>
    <s v="Connector"/>
    <x v="3"/>
    <n v="4762"/>
    <n v="4547"/>
    <d v="2026-01-08T00:00:00"/>
    <d v="2026-01-07T00:00:00"/>
    <n v="413"/>
    <n v="192"/>
    <n v="-1"/>
    <n v="1"/>
    <n v="0.95485090298194031"/>
    <n v="0.90917088190015394"/>
    <n v="873024"/>
    <n v="2.6041666666666668E-2"/>
    <n v="0"/>
    <n v="0.86632561183310086"/>
    <n v="1"/>
    <s v="Moderate"/>
  </r>
  <r>
    <s v="PO1410"/>
    <s v="V004"/>
    <x v="1"/>
    <s v="Connector"/>
    <x v="7"/>
    <n v="2277"/>
    <n v="2138"/>
    <d v="2026-10-19T00:00:00"/>
    <d v="2026-10-19T00:00:00"/>
    <n v="197"/>
    <n v="83"/>
    <n v="0"/>
    <n v="1"/>
    <n v="0.9389547650417216"/>
    <n v="0.90785781103835361"/>
    <n v="177454"/>
    <n v="6.0240963855421686E-2"/>
    <n v="0"/>
    <n v="0.86617239270539259"/>
    <n v="1"/>
    <s v="Moderate"/>
  </r>
  <r>
    <s v="PO1306"/>
    <s v="V004"/>
    <x v="1"/>
    <s v="IC"/>
    <x v="4"/>
    <n v="2174"/>
    <n v="2076"/>
    <d v="2026-11-22T00:00:00"/>
    <d v="2026-11-21T00:00:00"/>
    <n v="189"/>
    <n v="215"/>
    <n v="-1"/>
    <n v="1"/>
    <n v="0.95492180312787489"/>
    <n v="0.90895953757225434"/>
    <n v="446340"/>
    <n v="2.3255813953488372E-2"/>
    <n v="0"/>
    <n v="0.86599780329260012"/>
    <n v="1"/>
    <s v="Moderate"/>
  </r>
  <r>
    <s v="PO1268"/>
    <s v="V004"/>
    <x v="1"/>
    <s v="PCB"/>
    <x v="6"/>
    <n v="3004"/>
    <n v="2864"/>
    <d v="2026-06-19T00:00:00"/>
    <d v="2026-06-18T00:00:00"/>
    <n v="262"/>
    <n v="202"/>
    <n v="-1"/>
    <n v="1"/>
    <n v="0.95339547270306257"/>
    <n v="0.90851955307262566"/>
    <n v="578528"/>
    <n v="2.4752475247524754E-2"/>
    <n v="0"/>
    <n v="0.8657102079871527"/>
    <n v="1"/>
    <s v="Moderate"/>
  </r>
  <r>
    <s v="PO1467"/>
    <s v="V006"/>
    <x v="9"/>
    <s v="Connector"/>
    <x v="6"/>
    <n v="4814"/>
    <n v="4713"/>
    <d v="2026-06-26T00:00:00"/>
    <d v="2026-06-24T00:00:00"/>
    <n v="570"/>
    <n v="81"/>
    <n v="-2"/>
    <n v="1"/>
    <n v="0.97901952638138767"/>
    <n v="0.87905792488860601"/>
    <n v="381753"/>
    <n v="6.1728395061728392E-2"/>
    <n v="0"/>
    <n v="0.86569412224903231"/>
    <n v="1"/>
    <s v="Moderate"/>
  </r>
  <r>
    <s v="PO1247"/>
    <s v="V004"/>
    <x v="1"/>
    <s v="Connector"/>
    <x v="8"/>
    <n v="1471"/>
    <n v="1396"/>
    <d v="2026-09-02T00:00:00"/>
    <d v="2026-09-02T00:00:00"/>
    <n v="128"/>
    <n v="207"/>
    <n v="0"/>
    <n v="1"/>
    <n v="0.94901427600271926"/>
    <n v="0.90830945558739251"/>
    <n v="288972"/>
    <n v="2.4154589371980676E-2"/>
    <n v="0"/>
    <n v="0.86471115081395966"/>
    <n v="1"/>
    <s v="Moderate"/>
  </r>
  <r>
    <s v="PO1274"/>
    <s v="V004"/>
    <x v="1"/>
    <s v="PCB"/>
    <x v="10"/>
    <n v="4767"/>
    <n v="4485"/>
    <d v="2026-02-01T00:00:00"/>
    <d v="2026-02-01T00:00:00"/>
    <n v="407"/>
    <n v="142"/>
    <n v="0"/>
    <n v="1"/>
    <n v="0.94084329767149155"/>
    <n v="0.90925306577480491"/>
    <n v="636870"/>
    <n v="3.5211267605633804E-2"/>
    <n v="0"/>
    <n v="0.8644657060273031"/>
    <n v="1"/>
    <s v="Moderate"/>
  </r>
  <r>
    <s v="PO1458"/>
    <s v="V004"/>
    <x v="1"/>
    <s v="Connector"/>
    <x v="7"/>
    <n v="1411"/>
    <n v="1302"/>
    <d v="2026-10-09T00:00:00"/>
    <d v="2026-10-07T00:00:00"/>
    <n v="122"/>
    <n v="63"/>
    <n v="-2"/>
    <n v="1"/>
    <n v="0.92274982282069451"/>
    <n v="0.90629800307219666"/>
    <n v="82026"/>
    <n v="7.9365079365079361E-2"/>
    <n v="0"/>
    <n v="0.86437587342230571"/>
    <n v="1"/>
    <s v="Moderate"/>
  </r>
  <r>
    <s v="PO1258"/>
    <s v="V009"/>
    <x v="7"/>
    <s v="Connector"/>
    <x v="0"/>
    <n v="634"/>
    <n v="585"/>
    <d v="2026-12-25T00:00:00"/>
    <d v="2026-12-23T00:00:00"/>
    <n v="45"/>
    <n v="178"/>
    <n v="-2"/>
    <n v="1"/>
    <n v="0.92271293375394325"/>
    <n v="0.92307692307692313"/>
    <n v="104130"/>
    <n v="2.8089887640449437E-2"/>
    <n v="0"/>
    <n v="0.86427465243791046"/>
    <n v="1"/>
    <s v="Moderate"/>
  </r>
  <r>
    <s v="PO1032"/>
    <s v="V006"/>
    <x v="9"/>
    <s v="IC"/>
    <x v="1"/>
    <n v="2444"/>
    <n v="2325"/>
    <d v="2026-07-10T00:00:00"/>
    <d v="2026-07-09T00:00:00"/>
    <n v="281"/>
    <n v="50"/>
    <n v="-1"/>
    <n v="1"/>
    <n v="0.95130932896890341"/>
    <n v="0.87913978494623657"/>
    <n v="116250"/>
    <n v="0.1"/>
    <n v="0"/>
    <n v="0.86400380127765164"/>
    <n v="1"/>
    <s v="Moderate"/>
  </r>
  <r>
    <s v="PO1233"/>
    <s v="V004"/>
    <x v="1"/>
    <s v="Connector"/>
    <x v="9"/>
    <n v="895"/>
    <n v="828"/>
    <d v="2026-08-26T00:00:00"/>
    <d v="2026-08-25T00:00:00"/>
    <n v="80"/>
    <n v="64"/>
    <n v="-1"/>
    <n v="1"/>
    <n v="0.9251396648044693"/>
    <n v="0.90338164251207731"/>
    <n v="52992"/>
    <n v="7.8125E-2"/>
    <n v="0"/>
    <n v="0.86385492571451716"/>
    <n v="1"/>
    <s v="Moderate"/>
  </r>
  <r>
    <s v="PO1265"/>
    <s v="V004"/>
    <x v="1"/>
    <s v="Capacitor"/>
    <x v="1"/>
    <n v="1791"/>
    <n v="1650"/>
    <d v="2026-07-21T00:00:00"/>
    <d v="2026-07-21T00:00:00"/>
    <n v="154"/>
    <n v="66"/>
    <n v="0"/>
    <n v="1"/>
    <n v="0.92127303182579567"/>
    <n v="0.90666666666666662"/>
    <n v="108900"/>
    <n v="7.575757575757576E-2"/>
    <n v="0"/>
    <n v="0.86383036394091661"/>
    <n v="1"/>
    <s v="Moderate"/>
  </r>
  <r>
    <s v="PO1194"/>
    <s v="V006"/>
    <x v="9"/>
    <s v="Capacitor"/>
    <x v="6"/>
    <n v="4930"/>
    <n v="4847"/>
    <d v="2026-06-22T00:00:00"/>
    <d v="2026-06-20T00:00:00"/>
    <n v="587"/>
    <n v="150"/>
    <n v="-2"/>
    <n v="1"/>
    <n v="0.98316430020283974"/>
    <n v="0.87889416133690945"/>
    <n v="727050"/>
    <n v="3.3333333333333333E-2"/>
    <n v="0"/>
    <n v="0.86363444177497406"/>
    <n v="1"/>
    <s v="Moderate"/>
  </r>
  <r>
    <s v="PO1413"/>
    <s v="V009"/>
    <x v="7"/>
    <s v="IC"/>
    <x v="0"/>
    <n v="261"/>
    <n v="241"/>
    <d v="2026-12-22T00:00:00"/>
    <d v="2026-12-20T00:00:00"/>
    <n v="19"/>
    <n v="233"/>
    <n v="-2"/>
    <n v="1"/>
    <n v="0.92337164750957856"/>
    <n v="0.92116182572614103"/>
    <n v="56153"/>
    <n v="2.1459227467811159E-2"/>
    <n v="0"/>
    <n v="0.86316879996653928"/>
    <n v="1"/>
    <s v="Moderate"/>
  </r>
  <r>
    <s v="PO1204"/>
    <s v="V004"/>
    <x v="1"/>
    <s v="PCB"/>
    <x v="2"/>
    <n v="2827"/>
    <n v="2663"/>
    <d v="2026-05-15T00:00:00"/>
    <d v="2026-05-13T00:00:00"/>
    <n v="243"/>
    <n v="249"/>
    <n v="-2"/>
    <n v="1"/>
    <n v="0.94198797311637783"/>
    <n v="0.9087495306045813"/>
    <n v="663087"/>
    <n v="2.0080321285140562E-2"/>
    <n v="0"/>
    <n v="0.863030485933164"/>
    <n v="1"/>
    <s v="Moderate"/>
  </r>
  <r>
    <s v="PO1239"/>
    <s v="V004"/>
    <x v="1"/>
    <s v="Connector"/>
    <x v="6"/>
    <n v="2065"/>
    <n v="1921"/>
    <d v="2026-06-17T00:00:00"/>
    <d v="2026-06-17T00:00:00"/>
    <n v="177"/>
    <n v="113"/>
    <n v="0"/>
    <n v="1"/>
    <n v="0.93026634382566586"/>
    <n v="0.90786048932847474"/>
    <n v="217073"/>
    <n v="4.4247787610619468E-2"/>
    <n v="0"/>
    <n v="0.86283619432473757"/>
    <n v="1"/>
    <s v="Moderate"/>
  </r>
  <r>
    <s v="PO1256"/>
    <s v="V006"/>
    <x v="9"/>
    <s v="IC"/>
    <x v="11"/>
    <n v="469"/>
    <n v="454"/>
    <d v="2026-03-31T00:00:00"/>
    <d v="2026-03-30T00:00:00"/>
    <n v="57"/>
    <n v="83"/>
    <n v="-1"/>
    <n v="1"/>
    <n v="0.96801705756929635"/>
    <n v="0.87444933920704848"/>
    <n v="37682"/>
    <n v="6.0240963855421686E-2"/>
    <n v="0"/>
    <n v="0.86196230966151599"/>
    <n v="1"/>
    <s v="Moderate"/>
  </r>
  <r>
    <s v="PO1402"/>
    <s v="V006"/>
    <x v="9"/>
    <s v="PCB"/>
    <x v="9"/>
    <n v="469"/>
    <n v="460"/>
    <d v="2026-08-22T00:00:00"/>
    <d v="2026-08-21T00:00:00"/>
    <n v="57"/>
    <n v="171"/>
    <n v="-1"/>
    <n v="1"/>
    <n v="0.98081023454157779"/>
    <n v="0.87608695652173918"/>
    <n v="78660"/>
    <n v="2.9239766081871343E-2"/>
    <n v="0"/>
    <n v="0.86191211047302441"/>
    <n v="1"/>
    <s v="Moderate"/>
  </r>
  <r>
    <s v="PO1011"/>
    <s v="V004"/>
    <x v="1"/>
    <s v="PCB"/>
    <x v="4"/>
    <n v="1064"/>
    <n v="992"/>
    <d v="2026-11-09T00:00:00"/>
    <d v="2026-11-08T00:00:00"/>
    <n v="91"/>
    <n v="174"/>
    <n v="-1"/>
    <n v="1"/>
    <n v="0.93233082706766912"/>
    <n v="0.90826612903225812"/>
    <n v="172608"/>
    <n v="2.8735632183908046E-2"/>
    <n v="0"/>
    <n v="0.86181956734160214"/>
    <n v="1"/>
    <s v="Moderate"/>
  </r>
  <r>
    <s v="PO1357"/>
    <s v="V004"/>
    <x v="1"/>
    <s v="Connector"/>
    <x v="7"/>
    <n v="4519"/>
    <n v="4177"/>
    <d v="2026-10-11T00:00:00"/>
    <d v="2026-10-11T00:00:00"/>
    <n v="380"/>
    <n v="133"/>
    <n v="0"/>
    <n v="1"/>
    <n v="0.9243195397211772"/>
    <n v="0.90902561647115154"/>
    <n v="555541"/>
    <n v="3.7593984962406013E-2"/>
    <n v="0"/>
    <n v="0.86133099138182156"/>
    <n v="1"/>
    <s v="Moderate"/>
  </r>
  <r>
    <s v="PO1465"/>
    <s v="V004"/>
    <x v="1"/>
    <s v="IC"/>
    <x v="0"/>
    <n v="371"/>
    <n v="344"/>
    <d v="2026-12-22T00:00:00"/>
    <d v="2026-12-20T00:00:00"/>
    <n v="31"/>
    <n v="179"/>
    <n v="-2"/>
    <n v="1"/>
    <n v="0.92722371967654982"/>
    <n v="0.90988372093023251"/>
    <n v="61576"/>
    <n v="2.7932960893854747E-2"/>
    <n v="0"/>
    <n v="0.8612031563037652"/>
    <n v="1"/>
    <s v="Moderate"/>
  </r>
  <r>
    <s v="PO1279"/>
    <s v="V004"/>
    <x v="1"/>
    <s v="IC"/>
    <x v="0"/>
    <n v="2275"/>
    <n v="2110"/>
    <d v="2026-12-24T00:00:00"/>
    <d v="2026-12-24T00:00:00"/>
    <n v="192"/>
    <n v="197"/>
    <n v="0"/>
    <n v="1"/>
    <n v="0.92747252747252751"/>
    <n v="0.90900473933649284"/>
    <n v="415670"/>
    <n v="2.5380710659898477E-2"/>
    <n v="0"/>
    <n v="0.86073399836144326"/>
    <n v="1"/>
    <s v="Moderate"/>
  </r>
  <r>
    <s v="PO1028"/>
    <s v="V004"/>
    <x v="1"/>
    <s v="IC"/>
    <x v="1"/>
    <n v="3628"/>
    <n v="3353"/>
    <d v="2026-07-28T00:00:00"/>
    <d v="2026-07-26T00:00:00"/>
    <n v="303"/>
    <n v="226"/>
    <n v="-2"/>
    <n v="1"/>
    <n v="0.92420066152149949"/>
    <n v="0.90963316433045038"/>
    <n v="757778"/>
    <n v="2.2123893805309734E-2"/>
    <n v="0"/>
    <n v="0.85994247098396592"/>
    <n v="1"/>
    <s v="Moderate"/>
  </r>
  <r>
    <s v="PO1390"/>
    <s v="V004"/>
    <x v="1"/>
    <s v="Capacitor"/>
    <x v="3"/>
    <n v="1075"/>
    <n v="989"/>
    <d v="2026-01-21T00:00:00"/>
    <d v="2026-01-19T00:00:00"/>
    <n v="91"/>
    <n v="152"/>
    <n v="-2"/>
    <n v="1"/>
    <n v="0.92"/>
    <n v="0.90798786653185037"/>
    <n v="150328"/>
    <n v="3.2894736842105261E-2"/>
    <n v="0"/>
    <n v="0.85968583364376561"/>
    <n v="1"/>
    <s v="Moderate"/>
  </r>
  <r>
    <s v="PO1429"/>
    <s v="V006"/>
    <x v="9"/>
    <s v="PCB"/>
    <x v="6"/>
    <n v="4927"/>
    <n v="4763"/>
    <d v="2026-06-11T00:00:00"/>
    <d v="2026-06-11T00:00:00"/>
    <n v="572"/>
    <n v="230"/>
    <n v="0"/>
    <n v="1"/>
    <n v="0.96671402476151813"/>
    <n v="0.87990762124711319"/>
    <n v="1095490"/>
    <n v="2.1739130434782608E-2"/>
    <n v="0"/>
    <n v="0.85948900436991582"/>
    <n v="1"/>
    <s v="Moderate"/>
  </r>
  <r>
    <s v="PO1417"/>
    <s v="V006"/>
    <x v="9"/>
    <s v="PCB"/>
    <x v="2"/>
    <n v="1193"/>
    <n v="1130"/>
    <d v="2026-05-03T00:00:00"/>
    <d v="2026-05-03T00:00:00"/>
    <n v="140"/>
    <n v="71"/>
    <n v="0"/>
    <n v="1"/>
    <n v="0.94719195305951387"/>
    <n v="0.87610619469026552"/>
    <n v="80230"/>
    <n v="7.0422535211267609E-2"/>
    <n v="0"/>
    <n v="0.85931250254010916"/>
    <n v="1"/>
    <s v="Moderate"/>
  </r>
  <r>
    <s v="PO1365"/>
    <s v="V006"/>
    <x v="9"/>
    <s v="PCB"/>
    <x v="1"/>
    <n v="3945"/>
    <n v="3661"/>
    <d v="2026-07-06T00:00:00"/>
    <d v="2026-07-05T00:00:00"/>
    <n v="445"/>
    <n v="59"/>
    <n v="-1"/>
    <n v="1"/>
    <n v="0.92801013941698351"/>
    <n v="0.87844851133570068"/>
    <n v="215999"/>
    <n v="8.4745762711864403E-2"/>
    <n v="0"/>
    <n v="0.85761115755529338"/>
    <n v="1"/>
    <s v="Moderate"/>
  </r>
  <r>
    <s v="PO1195"/>
    <s v="V006"/>
    <x v="9"/>
    <s v="PCB"/>
    <x v="11"/>
    <n v="1754"/>
    <n v="1666"/>
    <d v="2026-03-15T00:00:00"/>
    <d v="2026-03-14T00:00:00"/>
    <n v="201"/>
    <n v="224"/>
    <n v="-1"/>
    <n v="1"/>
    <n v="0.94982896237172176"/>
    <n v="0.87935174069627853"/>
    <n v="373184"/>
    <n v="2.2321428571428572E-2"/>
    <n v="0"/>
    <n v="0.85600345754037088"/>
    <n v="1"/>
    <s v="Moderate"/>
  </r>
  <r>
    <s v="PO1066"/>
    <s v="V006"/>
    <x v="9"/>
    <s v="PCB"/>
    <x v="8"/>
    <n v="3304"/>
    <n v="3078"/>
    <d v="2026-09-13T00:00:00"/>
    <d v="2026-09-11T00:00:00"/>
    <n v="374"/>
    <n v="85"/>
    <n v="-2"/>
    <n v="1"/>
    <n v="0.93159806295399517"/>
    <n v="0.87849252761533458"/>
    <n v="261630"/>
    <n v="5.8823529411764705E-2"/>
    <n v="0"/>
    <n v="0.85574972381657588"/>
    <n v="1"/>
    <s v="Moderate"/>
  </r>
  <r>
    <s v="PO1373"/>
    <s v="V006"/>
    <x v="9"/>
    <s v="IC"/>
    <x v="1"/>
    <n v="3946"/>
    <n v="3728"/>
    <d v="2026-07-27T00:00:00"/>
    <d v="2026-07-27T00:00:00"/>
    <n v="453"/>
    <n v="171"/>
    <n v="0"/>
    <n v="1"/>
    <n v="0.94475418144956913"/>
    <n v="0.87848712446351929"/>
    <n v="637488"/>
    <n v="2.9239766081871343E-2"/>
    <n v="0"/>
    <n v="0.85542095023715681"/>
    <n v="1"/>
    <s v="Moderate"/>
  </r>
  <r>
    <s v="PO1337"/>
    <s v="V006"/>
    <x v="9"/>
    <s v="Connector"/>
    <x v="7"/>
    <n v="3925"/>
    <n v="3691"/>
    <d v="2026-10-07T00:00:00"/>
    <d v="2026-10-07T00:00:00"/>
    <n v="443"/>
    <n v="153"/>
    <n v="0"/>
    <n v="1"/>
    <n v="0.94038216560509558"/>
    <n v="0.87997832565700351"/>
    <n v="564723"/>
    <n v="3.2679738562091505E-2"/>
    <n v="0"/>
    <n v="0.85533790467432946"/>
    <n v="1"/>
    <s v="Moderate"/>
  </r>
  <r>
    <s v="PO1343"/>
    <s v="V006"/>
    <x v="9"/>
    <s v="PCB"/>
    <x v="0"/>
    <n v="2362"/>
    <n v="2220"/>
    <d v="2026-12-05T00:00:00"/>
    <d v="2026-12-05T00:00:00"/>
    <n v="269"/>
    <n v="170"/>
    <n v="0"/>
    <n v="1"/>
    <n v="0.93988145639288734"/>
    <n v="0.87882882882882885"/>
    <n v="377400"/>
    <n v="2.9411764705882353E-2"/>
    <n v="0"/>
    <n v="0.85456611639781432"/>
    <n v="1"/>
    <s v="Moderate"/>
  </r>
  <r>
    <s v="PO1122"/>
    <s v="V006"/>
    <x v="9"/>
    <s v="Connector"/>
    <x v="10"/>
    <n v="3480"/>
    <n v="3276"/>
    <d v="2026-02-23T00:00:00"/>
    <d v="2026-02-23T00:00:00"/>
    <n v="397"/>
    <n v="189"/>
    <n v="0"/>
    <n v="1"/>
    <n v="0.94137931034482758"/>
    <n v="0.8788156288156288"/>
    <n v="619164"/>
    <n v="2.6455026455026454E-2"/>
    <n v="0"/>
    <n v="0.85456605335915692"/>
    <n v="1"/>
    <s v="Moderate"/>
  </r>
  <r>
    <s v="PO1404"/>
    <s v="V006"/>
    <x v="9"/>
    <s v="Capacitor"/>
    <x v="11"/>
    <n v="1163"/>
    <n v="1097"/>
    <d v="2026-03-14T00:00:00"/>
    <d v="2026-03-14T00:00:00"/>
    <n v="137"/>
    <n v="149"/>
    <n v="0"/>
    <n v="1"/>
    <n v="0.94325021496130701"/>
    <n v="0.87511394712853241"/>
    <n v="163453"/>
    <n v="3.3557046979865772E-2"/>
    <n v="0"/>
    <n v="0.85453993182880772"/>
    <n v="1"/>
    <s v="Moderate"/>
  </r>
  <r>
    <s v="PO1284"/>
    <s v="V006"/>
    <x v="9"/>
    <s v="PCB"/>
    <x v="2"/>
    <n v="4379"/>
    <n v="4110"/>
    <d v="2026-05-16T00:00:00"/>
    <d v="2026-05-16T00:00:00"/>
    <n v="498"/>
    <n v="235"/>
    <n v="0"/>
    <n v="1"/>
    <n v="0.93857044987440053"/>
    <n v="0.87883211678832118"/>
    <n v="965850"/>
    <n v="2.1276595744680851E-2"/>
    <n v="0"/>
    <n v="0.85349138458584461"/>
    <n v="1"/>
    <s v="Moderate"/>
  </r>
  <r>
    <s v="PO1192"/>
    <s v="V006"/>
    <x v="9"/>
    <s v="Capacitor"/>
    <x v="3"/>
    <n v="906"/>
    <n v="842"/>
    <d v="2026-01-25T00:00:00"/>
    <d v="2026-01-25T00:00:00"/>
    <n v="103"/>
    <n v="138"/>
    <n v="0"/>
    <n v="1"/>
    <n v="0.92935982339955847"/>
    <n v="0.8776722090261283"/>
    <n v="116196"/>
    <n v="3.6231884057971016E-2"/>
    <n v="0"/>
    <n v="0.85279681579354738"/>
    <n v="1"/>
    <s v="Moderate"/>
  </r>
  <r>
    <s v="PO1128"/>
    <s v="V006"/>
    <x v="9"/>
    <s v="Connector"/>
    <x v="2"/>
    <n v="3660"/>
    <n v="3377"/>
    <d v="2026-05-01T00:00:00"/>
    <d v="2026-04-29T00:00:00"/>
    <n v="407"/>
    <n v="120"/>
    <n v="-2"/>
    <n v="1"/>
    <n v="0.92267759562841534"/>
    <n v="0.87947882736156346"/>
    <n v="405240"/>
    <n v="4.1666666666666664E-2"/>
    <n v="0"/>
    <n v="0.85254583400081885"/>
    <n v="1"/>
    <s v="Moderate"/>
  </r>
  <r>
    <s v="PO1443"/>
    <s v="V009"/>
    <x v="7"/>
    <s v="IC"/>
    <x v="5"/>
    <n v="1053"/>
    <n v="980"/>
    <d v="2026-04-05T00:00:00"/>
    <d v="2026-04-12T00:00:00"/>
    <n v="69"/>
    <n v="5"/>
    <n v="7"/>
    <n v="0"/>
    <n v="0.93067426400759734"/>
    <n v="0.92959183673469392"/>
    <n v="4900"/>
    <n v="1"/>
    <n v="1"/>
    <n v="0.56501240382192763"/>
    <n v="1"/>
    <s v="Poor"/>
  </r>
  <r>
    <s v="PO1355"/>
    <s v="V009"/>
    <x v="7"/>
    <s v="Capacitor"/>
    <x v="4"/>
    <n v="4208"/>
    <n v="4191"/>
    <d v="2026-11-14T00:00:00"/>
    <d v="2026-11-16T00:00:00"/>
    <n v="296"/>
    <n v="6"/>
    <n v="2"/>
    <n v="0"/>
    <n v="0.99596007604562742"/>
    <n v="0.9293724648055357"/>
    <n v="25146"/>
    <n v="0.83333333333333337"/>
    <n v="1"/>
    <n v="0.56133708798411952"/>
    <n v="1"/>
    <s v="Poor"/>
  </r>
  <r>
    <s v="PO1483"/>
    <s v="V008"/>
    <x v="4"/>
    <s v="PCB"/>
    <x v="9"/>
    <n v="2107"/>
    <n v="2025"/>
    <d v="2026-08-01T00:00:00"/>
    <d v="2026-08-11T00:00:00"/>
    <n v="106"/>
    <n v="9"/>
    <n v="10"/>
    <n v="0"/>
    <n v="0.96108210726150922"/>
    <n v="0.94765432098765434"/>
    <n v="18225"/>
    <n v="0.55555555555555558"/>
    <n v="1"/>
    <n v="0.53206827330415374"/>
    <n v="1"/>
    <s v="Poor"/>
  </r>
  <r>
    <s v="PO1319"/>
    <s v="V005"/>
    <x v="3"/>
    <s v="Connector"/>
    <x v="0"/>
    <n v="1782"/>
    <n v="1703"/>
    <d v="2026-12-07T00:00:00"/>
    <d v="2026-12-10T00:00:00"/>
    <n v="37"/>
    <n v="26"/>
    <n v="3"/>
    <n v="0"/>
    <n v="0.95566778900112237"/>
    <n v="0.97827363476218443"/>
    <n v="44278"/>
    <n v="0.19230769230769232"/>
    <n v="1"/>
    <n v="0.50384641745964909"/>
    <n v="1"/>
    <s v="Poor"/>
  </r>
  <r>
    <s v="PO1175"/>
    <s v="V003"/>
    <x v="6"/>
    <s v="Connector"/>
    <x v="5"/>
    <n v="3109"/>
    <n v="3065"/>
    <d v="2026-04-01T00:00:00"/>
    <d v="2026-04-03T00:00:00"/>
    <n v="184"/>
    <n v="22"/>
    <n v="2"/>
    <n v="0"/>
    <n v="0.98584753940173686"/>
    <n v="0.93996737357259386"/>
    <n v="67430"/>
    <n v="0.22727272727272727"/>
    <n v="1"/>
    <n v="0.50188699267939829"/>
    <n v="1"/>
    <s v="Poor"/>
  </r>
  <r>
    <s v="PO1005"/>
    <s v="V002"/>
    <x v="8"/>
    <s v="IC"/>
    <x v="0"/>
    <n v="2903"/>
    <n v="2685"/>
    <d v="2026-12-28T00:00:00"/>
    <d v="2027-01-01T00:00:00"/>
    <n v="82"/>
    <n v="23"/>
    <n v="4"/>
    <n v="0"/>
    <n v="0.92490527040992077"/>
    <n v="0.96945996275605217"/>
    <n v="61755"/>
    <n v="0.21739130434782608"/>
    <n v="1"/>
    <n v="0.49755817334358243"/>
    <n v="1"/>
    <s v="Poor"/>
  </r>
  <r>
    <s v="PO1334"/>
    <s v="V008"/>
    <x v="4"/>
    <s v="Capacitor"/>
    <x v="9"/>
    <n v="792"/>
    <n v="786"/>
    <d v="2026-08-22T00:00:00"/>
    <d v="2026-08-25T00:00:00"/>
    <n v="43"/>
    <n v="36"/>
    <n v="3"/>
    <n v="0"/>
    <n v="0.99242424242424243"/>
    <n v="0.94529262086513999"/>
    <n v="28296"/>
    <n v="0.1388888888888889"/>
    <n v="1"/>
    <n v="0.49596152363327939"/>
    <n v="1"/>
    <s v="Poor"/>
  </r>
  <r>
    <s v="PO1393"/>
    <s v="V005"/>
    <x v="3"/>
    <s v="Capacitor"/>
    <x v="1"/>
    <n v="4299"/>
    <n v="4283"/>
    <d v="2026-07-06T00:00:00"/>
    <d v="2026-07-08T00:00:00"/>
    <n v="89"/>
    <n v="183"/>
    <n v="2"/>
    <n v="0"/>
    <n v="0.99627820423354263"/>
    <n v="0.97922017277609152"/>
    <n v="783789"/>
    <n v="2.7322404371584699E-2"/>
    <n v="1"/>
    <n v="0.49575393311669447"/>
    <n v="1"/>
    <s v="Poor"/>
  </r>
  <r>
    <s v="PO1063"/>
    <s v="V009"/>
    <x v="7"/>
    <s v="PCB"/>
    <x v="9"/>
    <n v="1051"/>
    <n v="1039"/>
    <d v="2026-08-04T00:00:00"/>
    <d v="2026-08-13T00:00:00"/>
    <n v="73"/>
    <n v="27"/>
    <n v="9"/>
    <n v="0"/>
    <n v="0.98858230256898194"/>
    <n v="0.9297401347449471"/>
    <n v="28053"/>
    <n v="0.18518518518518517"/>
    <n v="1"/>
    <n v="0.49515701945579904"/>
    <n v="1"/>
    <s v="Poor"/>
  </r>
  <r>
    <s v="PO1023"/>
    <s v="V006"/>
    <x v="9"/>
    <s v="Connector"/>
    <x v="1"/>
    <n v="1221"/>
    <n v="1192"/>
    <d v="2026-07-03T00:00:00"/>
    <d v="2026-07-05T00:00:00"/>
    <n v="144"/>
    <n v="15"/>
    <n v="2"/>
    <n v="0"/>
    <n v="0.97624897624897622"/>
    <n v="0.87919463087248317"/>
    <n v="17880"/>
    <n v="0.33333333333333331"/>
    <n v="1"/>
    <n v="0.49234151784487351"/>
    <n v="1"/>
    <s v="Poor"/>
  </r>
  <r>
    <s v="PO1097"/>
    <s v="V002"/>
    <x v="8"/>
    <s v="Capacitor"/>
    <x v="0"/>
    <n v="1241"/>
    <n v="1215"/>
    <d v="2026-12-03T00:00:00"/>
    <d v="2026-12-06T00:00:00"/>
    <n v="38"/>
    <n v="118"/>
    <n v="3"/>
    <n v="0"/>
    <n v="0.97904915390813863"/>
    <n v="0.968724279835391"/>
    <n v="143370"/>
    <n v="4.2372881355932202E-2"/>
    <n v="1"/>
    <n v="0.49066440286783825"/>
    <n v="1"/>
    <s v="Poor"/>
  </r>
  <r>
    <s v="PO1130"/>
    <s v="V003"/>
    <x v="6"/>
    <s v="Capacitor"/>
    <x v="3"/>
    <n v="810"/>
    <n v="764"/>
    <d v="2026-01-04T00:00:00"/>
    <d v="2026-01-09T00:00:00"/>
    <n v="49"/>
    <n v="25"/>
    <n v="5"/>
    <n v="0"/>
    <n v="0.94320987654320987"/>
    <n v="0.93586387434554974"/>
    <n v="19100"/>
    <n v="0.2"/>
    <n v="1"/>
    <n v="0.48940113761230697"/>
    <n v="1"/>
    <s v="Poor"/>
  </r>
  <r>
    <s v="PO1260"/>
    <s v="V007"/>
    <x v="5"/>
    <s v="Connector"/>
    <x v="10"/>
    <n v="4535"/>
    <n v="4429"/>
    <d v="2026-02-07T00:00:00"/>
    <d v="2026-02-10T00:00:00"/>
    <n v="181"/>
    <n v="90"/>
    <n v="3"/>
    <n v="0"/>
    <n v="0.97662624035281143"/>
    <n v="0.95913298713027773"/>
    <n v="398610"/>
    <n v="5.5555555555555552E-2"/>
    <n v="1"/>
    <n v="0.48862069976520112"/>
    <n v="1"/>
    <s v="Poor"/>
  </r>
  <r>
    <s v="PO1121"/>
    <s v="V001"/>
    <x v="2"/>
    <s v="PCB"/>
    <x v="1"/>
    <n v="2354"/>
    <n v="2230"/>
    <d v="2026-07-15T00:00:00"/>
    <d v="2026-07-23T00:00:00"/>
    <n v="27"/>
    <n v="193"/>
    <n v="8"/>
    <n v="0"/>
    <n v="0.94732370433305013"/>
    <n v="0.98789237668161434"/>
    <n v="430390"/>
    <n v="2.5906735751295335E-2"/>
    <n v="1"/>
    <n v="0.48842312744622385"/>
    <n v="1"/>
    <s v="Poor"/>
  </r>
  <r>
    <s v="PO1193"/>
    <s v="V008"/>
    <x v="4"/>
    <s v="PCB"/>
    <x v="7"/>
    <n v="1179"/>
    <n v="1113"/>
    <d v="2026-10-30T00:00:00"/>
    <d v="2026-11-02T00:00:00"/>
    <n v="56"/>
    <n v="34"/>
    <n v="3"/>
    <n v="0"/>
    <n v="0.94402035623409675"/>
    <n v="0.94968553459119498"/>
    <n v="37842"/>
    <n v="0.14705882352941177"/>
    <n v="1"/>
    <n v="0.48841561397711902"/>
    <n v="1"/>
    <s v="Poor"/>
  </r>
  <r>
    <s v="PO1185"/>
    <s v="V003"/>
    <x v="6"/>
    <s v="PCB"/>
    <x v="2"/>
    <n v="3962"/>
    <n v="3905"/>
    <d v="2026-05-21T00:00:00"/>
    <d v="2026-05-26T00:00:00"/>
    <n v="240"/>
    <n v="59"/>
    <n v="5"/>
    <n v="0"/>
    <n v="0.98561332660272594"/>
    <n v="0.93854033290653005"/>
    <n v="230395"/>
    <n v="8.4745762711864403E-2"/>
    <n v="1"/>
    <n v="0.48715934146369066"/>
    <n v="1"/>
    <s v="Poor"/>
  </r>
  <r>
    <s v="PO1111"/>
    <s v="V003"/>
    <x v="6"/>
    <s v="Capacitor"/>
    <x v="8"/>
    <n v="767"/>
    <n v="763"/>
    <d v="2026-09-25T00:00:00"/>
    <d v="2026-09-27T00:00:00"/>
    <n v="51"/>
    <n v="63"/>
    <n v="2"/>
    <n v="0"/>
    <n v="0.99478487614080835"/>
    <n v="0.93315858453473133"/>
    <n v="48069"/>
    <n v="7.9365079365079361E-2"/>
    <n v="1"/>
    <n v="0.48684105852508897"/>
    <n v="1"/>
    <s v="Poor"/>
  </r>
  <r>
    <s v="PO1293"/>
    <s v="V002"/>
    <x v="8"/>
    <s v="PCB"/>
    <x v="3"/>
    <n v="4524"/>
    <n v="4372"/>
    <d v="2026-01-08T00:00:00"/>
    <d v="2026-01-15T00:00:00"/>
    <n v="136"/>
    <n v="238"/>
    <n v="7"/>
    <n v="0"/>
    <n v="0.96640141467727669"/>
    <n v="0.96889295516925888"/>
    <n v="1040536"/>
    <n v="2.100840336134454E-2"/>
    <n v="1"/>
    <n v="0.48604900982236743"/>
    <n v="1"/>
    <s v="Poor"/>
  </r>
  <r>
    <s v="PO1223"/>
    <s v="V001"/>
    <x v="2"/>
    <s v="Connector"/>
    <x v="11"/>
    <n v="348"/>
    <n v="329"/>
    <d v="2026-03-25T00:00:00"/>
    <d v="2026-03-30T00:00:00"/>
    <n v="8"/>
    <n v="129"/>
    <n v="5"/>
    <n v="0"/>
    <n v="0.9454022988505747"/>
    <n v="0.9756838905775076"/>
    <n v="42441"/>
    <n v="3.875968992248062E-2"/>
    <n v="1"/>
    <n v="0.48566159593561531"/>
    <n v="1"/>
    <s v="Poor"/>
  </r>
  <r>
    <s v="PO1445"/>
    <s v="V003"/>
    <x v="6"/>
    <s v="Capacitor"/>
    <x v="8"/>
    <n v="3092"/>
    <n v="3078"/>
    <d v="2026-09-05T00:00:00"/>
    <d v="2026-09-06T00:00:00"/>
    <n v="189"/>
    <n v="106"/>
    <n v="1"/>
    <n v="0"/>
    <n v="0.99547218628719281"/>
    <n v="0.93859649122807021"/>
    <n v="326268"/>
    <n v="4.716981132075472E-2"/>
    <n v="1"/>
    <n v="0.48539036575793509"/>
    <n v="1"/>
    <s v="Poor"/>
  </r>
  <r>
    <s v="PO1199"/>
    <s v="V010"/>
    <x v="0"/>
    <s v="Connector"/>
    <x v="6"/>
    <n v="4078"/>
    <n v="3790"/>
    <d v="2026-06-23T00:00:00"/>
    <d v="2026-06-26T00:00:00"/>
    <n v="41"/>
    <n v="184"/>
    <n v="3"/>
    <n v="0"/>
    <n v="0.92937714565963703"/>
    <n v="0.98918205804749337"/>
    <n v="697360"/>
    <n v="2.717391304347826E-2"/>
    <n v="1"/>
    <n v="0.48534743785052331"/>
    <n v="1"/>
    <s v="Poor"/>
  </r>
  <r>
    <s v="PO1259"/>
    <s v="V008"/>
    <x v="4"/>
    <s v="PCB"/>
    <x v="11"/>
    <n v="1578"/>
    <n v="1522"/>
    <d v="2026-03-13T00:00:00"/>
    <d v="2026-03-20T00:00:00"/>
    <n v="80"/>
    <n v="69"/>
    <n v="7"/>
    <n v="0"/>
    <n v="0.96451204055766793"/>
    <n v="0.94743758212877793"/>
    <n v="105018"/>
    <n v="7.2463768115942032E-2"/>
    <n v="1"/>
    <n v="0.48438005956176111"/>
    <n v="1"/>
    <s v="Poor"/>
  </r>
  <r>
    <s v="PO1129"/>
    <s v="V002"/>
    <x v="8"/>
    <s v="IC"/>
    <x v="2"/>
    <n v="432"/>
    <n v="415"/>
    <d v="2026-05-24T00:00:00"/>
    <d v="2026-06-01T00:00:00"/>
    <n v="17"/>
    <n v="116"/>
    <n v="8"/>
    <n v="0"/>
    <n v="0.96064814814814814"/>
    <n v="0.95903614457831321"/>
    <n v="48140"/>
    <n v="4.3103448275862072E-2"/>
    <n v="1"/>
    <n v="0.48415081783070979"/>
    <n v="1"/>
    <s v="Poor"/>
  </r>
  <r>
    <s v="PO1440"/>
    <s v="V002"/>
    <x v="8"/>
    <s v="Capacitor"/>
    <x v="7"/>
    <n v="3392"/>
    <n v="3213"/>
    <d v="2026-10-12T00:00:00"/>
    <d v="2026-10-13T00:00:00"/>
    <n v="99"/>
    <n v="195"/>
    <n v="1"/>
    <n v="0"/>
    <n v="0.94722877358490565"/>
    <n v="0.96918767507002801"/>
    <n v="626535"/>
    <n v="2.564102564102564E-2"/>
    <n v="1"/>
    <n v="0.48276615980209203"/>
    <n v="1"/>
    <s v="Poor"/>
  </r>
  <r>
    <s v="PO1409"/>
    <s v="V008"/>
    <x v="4"/>
    <s v="Connector"/>
    <x v="7"/>
    <n v="4211"/>
    <n v="3899"/>
    <d v="2026-10-09T00:00:00"/>
    <d v="2026-10-18T00:00:00"/>
    <n v="195"/>
    <n v="46"/>
    <n v="9"/>
    <n v="0"/>
    <n v="0.92590833531227734"/>
    <n v="0.9499871761990254"/>
    <n v="179354"/>
    <n v="0.10869565217391304"/>
    <n v="1"/>
    <n v="0.48104738513955436"/>
    <n v="1"/>
    <s v="Poor"/>
  </r>
  <r>
    <s v="PO1451"/>
    <s v="V007"/>
    <x v="5"/>
    <s v="Capacitor"/>
    <x v="9"/>
    <n v="4931"/>
    <n v="4660"/>
    <d v="2026-08-13T00:00:00"/>
    <d v="2026-08-16T00:00:00"/>
    <n v="191"/>
    <n v="125"/>
    <n v="3"/>
    <n v="0"/>
    <n v="0.94504157371729869"/>
    <n v="0.95901287553648074"/>
    <n v="582500"/>
    <n v="0.04"/>
    <n v="1"/>
    <n v="0.48071217740440397"/>
    <n v="1"/>
    <s v="Poor"/>
  </r>
  <r>
    <s v="PO1229"/>
    <s v="V007"/>
    <x v="5"/>
    <s v="IC"/>
    <x v="3"/>
    <n v="3257"/>
    <n v="3095"/>
    <d v="2026-01-03T00:00:00"/>
    <d v="2026-01-11T00:00:00"/>
    <n v="126"/>
    <n v="180"/>
    <n v="8"/>
    <n v="0"/>
    <n v="0.95026097635861217"/>
    <n v="0.95928917609046849"/>
    <n v="557100"/>
    <n v="2.7777777777777776E-2"/>
    <n v="1"/>
    <n v="0.48061672587664078"/>
    <n v="1"/>
    <s v="Poor"/>
  </r>
  <r>
    <s v="PO1285"/>
    <s v="V009"/>
    <x v="7"/>
    <s v="Connector"/>
    <x v="6"/>
    <n v="2544"/>
    <n v="2503"/>
    <d v="2026-06-03T00:00:00"/>
    <d v="2026-06-07T00:00:00"/>
    <n v="181"/>
    <n v="94"/>
    <n v="4"/>
    <n v="0"/>
    <n v="0.98388364779874216"/>
    <n v="0.9276867758689572"/>
    <n v="235282"/>
    <n v="5.3191489361702128E-2"/>
    <n v="1"/>
    <n v="0.48040191125660581"/>
    <n v="1"/>
    <s v="Poor"/>
  </r>
  <r>
    <s v="PO1166"/>
    <s v="V009"/>
    <x v="7"/>
    <s v="PCB"/>
    <x v="6"/>
    <n v="4599"/>
    <n v="4540"/>
    <d v="2026-06-04T00:00:00"/>
    <d v="2026-06-13T00:00:00"/>
    <n v="319"/>
    <n v="167"/>
    <n v="9"/>
    <n v="0"/>
    <n v="0.98717112415742547"/>
    <n v="0.92973568281938324"/>
    <n v="758180"/>
    <n v="2.9940119760479042E-2"/>
    <n v="1"/>
    <n v="0.47934894165334796"/>
    <n v="1"/>
    <s v="Poor"/>
  </r>
  <r>
    <s v="PO1079"/>
    <s v="V009"/>
    <x v="7"/>
    <s v="Capacitor"/>
    <x v="2"/>
    <n v="3154"/>
    <n v="3107"/>
    <d v="2026-05-02T00:00:00"/>
    <d v="2026-05-04T00:00:00"/>
    <n v="222"/>
    <n v="147"/>
    <n v="2"/>
    <n v="0"/>
    <n v="0.98509828788839571"/>
    <n v="0.92854843900869011"/>
    <n v="456729"/>
    <n v="3.4013605442176874E-2"/>
    <n v="1"/>
    <n v="0.47898554982450386"/>
    <n v="1"/>
    <s v="Poor"/>
  </r>
  <r>
    <s v="PO1399"/>
    <s v="V009"/>
    <x v="7"/>
    <s v="Connector"/>
    <x v="10"/>
    <n v="2513"/>
    <n v="2472"/>
    <d v="2026-02-24T00:00:00"/>
    <d v="2026-02-26T00:00:00"/>
    <n v="175"/>
    <n v="147"/>
    <n v="2"/>
    <n v="0"/>
    <n v="0.98368483883804214"/>
    <n v="0.92920711974110037"/>
    <n v="363384"/>
    <n v="3.4013605442176874E-2"/>
    <n v="1"/>
    <n v="0.47890046423415622"/>
    <n v="1"/>
    <s v="Poor"/>
  </r>
  <r>
    <s v="PO1181"/>
    <s v="V009"/>
    <x v="7"/>
    <s v="Connector"/>
    <x v="3"/>
    <n v="1546"/>
    <n v="1511"/>
    <d v="2026-01-09T00:00:00"/>
    <d v="2026-01-13T00:00:00"/>
    <n v="106"/>
    <n v="121"/>
    <n v="4"/>
    <n v="0"/>
    <n v="0.97736093143596381"/>
    <n v="0.92984778292521508"/>
    <n v="182831"/>
    <n v="4.1322314049586778E-2"/>
    <n v="1"/>
    <n v="0.47855875256971592"/>
    <n v="1"/>
    <s v="Poor"/>
  </r>
  <r>
    <s v="PO1490"/>
    <s v="V008"/>
    <x v="4"/>
    <s v="IC"/>
    <x v="4"/>
    <n v="1896"/>
    <n v="1765"/>
    <d v="2026-11-20T00:00:00"/>
    <d v="2026-11-28T00:00:00"/>
    <n v="93"/>
    <n v="73"/>
    <n v="8"/>
    <n v="0"/>
    <n v="0.93090717299578063"/>
    <n v="0.94730878186968837"/>
    <n v="128845"/>
    <n v="6.8493150684931503E-2"/>
    <n v="1"/>
    <n v="0.47722338422855581"/>
    <n v="1"/>
    <s v="Poor"/>
  </r>
  <r>
    <s v="PO1230"/>
    <s v="V003"/>
    <x v="6"/>
    <s v="Capacitor"/>
    <x v="5"/>
    <n v="3665"/>
    <n v="3512"/>
    <d v="2026-04-24T00:00:00"/>
    <d v="2026-05-01T00:00:00"/>
    <n v="213"/>
    <n v="134"/>
    <n v="7"/>
    <n v="0"/>
    <n v="0.95825375170532057"/>
    <n v="0.93935079726651483"/>
    <n v="470608"/>
    <n v="3.7313432835820892E-2"/>
    <n v="1"/>
    <n v="0.47718733280460063"/>
    <n v="1"/>
    <s v="Poor"/>
  </r>
  <r>
    <s v="PO1187"/>
    <s v="V004"/>
    <x v="1"/>
    <s v="Capacitor"/>
    <x v="7"/>
    <n v="326"/>
    <n v="318"/>
    <d v="2026-10-02T00:00:00"/>
    <d v="2026-10-11T00:00:00"/>
    <n v="31"/>
    <n v="46"/>
    <n v="9"/>
    <n v="0"/>
    <n v="0.97546012269938653"/>
    <n v="0.90251572327044027"/>
    <n v="14628"/>
    <n v="0.10869565217391304"/>
    <n v="1"/>
    <n v="0.47671630673840065"/>
    <n v="1"/>
    <s v="Poor"/>
  </r>
  <r>
    <s v="PO1099"/>
    <s v="V009"/>
    <x v="7"/>
    <s v="PCB"/>
    <x v="0"/>
    <n v="1453"/>
    <n v="1406"/>
    <d v="2026-12-01T00:00:00"/>
    <d v="2026-12-07T00:00:00"/>
    <n v="102"/>
    <n v="127"/>
    <n v="6"/>
    <n v="0"/>
    <n v="0.96765313145216791"/>
    <n v="0.92745376955903269"/>
    <n v="178562"/>
    <n v="3.937007874015748E-2"/>
    <n v="1"/>
    <n v="0.47570376503215916"/>
    <n v="1"/>
    <s v="Poor"/>
  </r>
  <r>
    <s v="PO1092"/>
    <s v="V007"/>
    <x v="5"/>
    <s v="Capacitor"/>
    <x v="3"/>
    <n v="1231"/>
    <n v="1134"/>
    <d v="2026-01-17T00:00:00"/>
    <d v="2026-01-21T00:00:00"/>
    <n v="48"/>
    <n v="203"/>
    <n v="4"/>
    <n v="0"/>
    <n v="0.92120227457351744"/>
    <n v="0.95767195767195767"/>
    <n v="230202"/>
    <n v="2.4630541871921183E-2"/>
    <n v="1"/>
    <n v="0.47400509640348293"/>
    <n v="1"/>
    <s v="Poor"/>
  </r>
  <r>
    <s v="PO1205"/>
    <s v="V004"/>
    <x v="1"/>
    <s v="Capacitor"/>
    <x v="9"/>
    <n v="2341"/>
    <n v="2193"/>
    <d v="2026-08-28T00:00:00"/>
    <d v="2026-09-03T00:00:00"/>
    <n v="201"/>
    <n v="39"/>
    <n v="6"/>
    <n v="0"/>
    <n v="0.9367791542076036"/>
    <n v="0.90834473324213405"/>
    <n v="85527"/>
    <n v="0.12820512820512819"/>
    <n v="1"/>
    <n v="0.47267976363467379"/>
    <n v="1"/>
    <s v="Poor"/>
  </r>
  <r>
    <s v="PO1386"/>
    <s v="V009"/>
    <x v="7"/>
    <s v="Connector"/>
    <x v="0"/>
    <n v="2828"/>
    <n v="2703"/>
    <d v="2026-12-08T00:00:00"/>
    <d v="2026-12-11T00:00:00"/>
    <n v="195"/>
    <n v="242"/>
    <n v="3"/>
    <n v="0"/>
    <n v="0.95579915134370574"/>
    <n v="0.92785793562708108"/>
    <n v="654126"/>
    <n v="2.0661157024793389E-2"/>
    <n v="1"/>
    <n v="0.47158332665934483"/>
    <n v="1"/>
    <s v="Poor"/>
  </r>
  <r>
    <s v="PO1478"/>
    <s v="V004"/>
    <x v="1"/>
    <s v="PCB"/>
    <x v="3"/>
    <n v="1115"/>
    <n v="1092"/>
    <d v="2026-01-10T00:00:00"/>
    <d v="2026-01-14T00:00:00"/>
    <n v="102"/>
    <n v="160"/>
    <n v="4"/>
    <n v="0"/>
    <n v="0.97937219730941705"/>
    <n v="0.90659340659340659"/>
    <n v="174720"/>
    <n v="3.125E-2"/>
    <n v="1"/>
    <n v="0.47097746143990538"/>
    <n v="1"/>
    <s v="Poor"/>
  </r>
  <r>
    <s v="PO1362"/>
    <s v="V006"/>
    <x v="9"/>
    <s v="PCB"/>
    <x v="11"/>
    <n v="1527"/>
    <n v="1525"/>
    <d v="2026-03-26T00:00:00"/>
    <d v="2026-03-27T00:00:00"/>
    <n v="186"/>
    <n v="77"/>
    <n v="1"/>
    <n v="0"/>
    <n v="0.99869024230517356"/>
    <n v="0.87803278688524589"/>
    <n v="117425"/>
    <n v="6.4935064935064929E-2"/>
    <n v="1"/>
    <n v="0.46964139102011498"/>
    <n v="1"/>
    <s v="Poor"/>
  </r>
  <r>
    <s v="PO1076"/>
    <s v="V004"/>
    <x v="1"/>
    <s v="IC"/>
    <x v="0"/>
    <n v="2595"/>
    <n v="2433"/>
    <d v="2026-12-22T00:00:00"/>
    <d v="2026-12-31T00:00:00"/>
    <n v="224"/>
    <n v="56"/>
    <n v="9"/>
    <n v="0"/>
    <n v="0.93757225433526015"/>
    <n v="0.90793259350595967"/>
    <n v="136248"/>
    <n v="8.9285714285714288E-2"/>
    <n v="1"/>
    <n v="0.46882280034741136"/>
    <n v="1"/>
    <s v="Poor"/>
  </r>
  <r>
    <s v="PO1052"/>
    <s v="V009"/>
    <x v="7"/>
    <s v="Capacitor"/>
    <x v="4"/>
    <n v="1652"/>
    <n v="1552"/>
    <d v="2026-11-20T00:00:00"/>
    <d v="2026-11-25T00:00:00"/>
    <n v="113"/>
    <n v="217"/>
    <n v="5"/>
    <n v="0"/>
    <n v="0.93946731234866832"/>
    <n v="0.92719072164948457"/>
    <n v="336784"/>
    <n v="2.3041474654377881E-2"/>
    <n v="1"/>
    <n v="0.46835482643001686"/>
    <n v="1"/>
    <s v="Poor"/>
  </r>
  <r>
    <s v="PO1444"/>
    <s v="V006"/>
    <x v="9"/>
    <s v="PCB"/>
    <x v="7"/>
    <n v="648"/>
    <n v="648"/>
    <d v="2026-10-24T00:00:00"/>
    <d v="2026-11-03T00:00:00"/>
    <n v="78"/>
    <n v="140"/>
    <n v="10"/>
    <n v="0"/>
    <n v="1"/>
    <n v="0.87962962962962965"/>
    <n v="90720"/>
    <n v="3.5714285714285712E-2"/>
    <n v="1"/>
    <n v="0.46746031746031746"/>
    <n v="1"/>
    <s v="Poor"/>
  </r>
  <r>
    <s v="PO1418"/>
    <s v="V009"/>
    <x v="7"/>
    <s v="Capacitor"/>
    <x v="8"/>
    <n v="4204"/>
    <n v="3874"/>
    <d v="2026-09-29T00:00:00"/>
    <d v="2026-10-04T00:00:00"/>
    <n v="274"/>
    <n v="126"/>
    <n v="5"/>
    <n v="0"/>
    <n v="0.92150333016175068"/>
    <n v="0.92927207021166758"/>
    <n v="488124"/>
    <n v="3.968253968253968E-2"/>
    <n v="1"/>
    <n v="0.46705054106410437"/>
    <n v="1"/>
    <s v="Poor"/>
  </r>
  <r>
    <s v="PO1278"/>
    <s v="V006"/>
    <x v="9"/>
    <s v="PCB"/>
    <x v="0"/>
    <n v="1280"/>
    <n v="1250"/>
    <d v="2026-12-01T00:00:00"/>
    <d v="2026-12-03T00:00:00"/>
    <n v="151"/>
    <n v="69"/>
    <n v="2"/>
    <n v="0"/>
    <n v="0.9765625"/>
    <n v="0.87919999999999998"/>
    <n v="86250"/>
    <n v="7.2463768115942032E-2"/>
    <n v="1"/>
    <n v="0.46631887681159417"/>
    <n v="1"/>
    <s v="Poor"/>
  </r>
  <r>
    <s v="PO1394"/>
    <s v="V006"/>
    <x v="9"/>
    <s v="Capacitor"/>
    <x v="0"/>
    <n v="3353"/>
    <n v="3329"/>
    <d v="2026-12-21T00:00:00"/>
    <d v="2026-12-30T00:00:00"/>
    <n v="401"/>
    <n v="240"/>
    <n v="9"/>
    <n v="0"/>
    <n v="0.99284223083805545"/>
    <n v="0.87954340642835682"/>
    <n v="798960"/>
    <n v="2.0833333333333332E-2"/>
    <n v="1"/>
    <n v="0.46451480142945145"/>
    <n v="1"/>
    <s v="Poor"/>
  </r>
  <r>
    <s v="PO1170"/>
    <s v="V006"/>
    <x v="9"/>
    <s v="PCB"/>
    <x v="0"/>
    <n v="350"/>
    <n v="342"/>
    <d v="2026-12-26T00:00:00"/>
    <d v="2026-12-28T00:00:00"/>
    <n v="42"/>
    <n v="97"/>
    <n v="2"/>
    <n v="0"/>
    <n v="0.97714285714285709"/>
    <n v="0.8771929824561403"/>
    <n v="33174"/>
    <n v="5.1546391752577317E-2"/>
    <n v="1"/>
    <n v="0.46374110534067126"/>
    <n v="1"/>
    <s v="Poor"/>
  </r>
  <r>
    <s v="PO1277"/>
    <s v="V006"/>
    <x v="9"/>
    <s v="PCB"/>
    <x v="0"/>
    <n v="3958"/>
    <n v="3886"/>
    <d v="2026-12-29T00:00:00"/>
    <d v="2027-01-07T00:00:00"/>
    <n v="468"/>
    <n v="174"/>
    <n v="9"/>
    <n v="0"/>
    <n v="0.98180899444163716"/>
    <n v="0.8795676788471436"/>
    <n v="676164"/>
    <n v="2.8735632183908046E-2"/>
    <n v="1"/>
    <n v="0.46310566576086132"/>
    <n v="1"/>
    <s v="Poor"/>
  </r>
  <r>
    <s v="PO1416"/>
    <s v="V004"/>
    <x v="1"/>
    <s v="Connector"/>
    <x v="9"/>
    <n v="4519"/>
    <n v="4168"/>
    <d v="2026-08-26T00:00:00"/>
    <d v="2026-09-05T00:00:00"/>
    <n v="377"/>
    <n v="91"/>
    <n v="10"/>
    <n v="0"/>
    <n v="0.92232794866120826"/>
    <n v="0.90954894433781186"/>
    <n v="379288"/>
    <n v="5.4945054945054944E-2"/>
    <n v="1"/>
    <n v="0.46282477852809067"/>
    <n v="1"/>
    <s v="Poor"/>
  </r>
  <r>
    <s v="PO1179"/>
    <s v="V006"/>
    <x v="9"/>
    <s v="Connector"/>
    <x v="6"/>
    <n v="2916"/>
    <n v="2843"/>
    <d v="2026-06-20T00:00:00"/>
    <d v="2026-06-29T00:00:00"/>
    <n v="347"/>
    <n v="134"/>
    <n v="9"/>
    <n v="0"/>
    <n v="0.97496570644718794"/>
    <n v="0.87794583186774533"/>
    <n v="380962"/>
    <n v="3.7313432835820892E-2"/>
    <n v="1"/>
    <n v="0.46210823413334329"/>
    <n v="1"/>
    <s v="Poor"/>
  </r>
  <r>
    <s v="PO1459"/>
    <s v="V006"/>
    <x v="9"/>
    <s v="IC"/>
    <x v="0"/>
    <n v="3857"/>
    <n v="3769"/>
    <d v="2026-12-14T00:00:00"/>
    <d v="2026-12-17T00:00:00"/>
    <n v="457"/>
    <n v="168"/>
    <n v="3"/>
    <n v="0"/>
    <n v="0.97718434016074673"/>
    <n v="0.87874767842929158"/>
    <n v="633192"/>
    <n v="2.976190476190476E-2"/>
    <n v="1"/>
    <n v="0.46203736203712731"/>
    <n v="1"/>
    <s v="Poor"/>
  </r>
  <r>
    <s v="PO1038"/>
    <s v="V006"/>
    <x v="9"/>
    <s v="PCB"/>
    <x v="4"/>
    <n v="636"/>
    <n v="606"/>
    <d v="2026-11-21T00:00:00"/>
    <d v="2026-11-24T00:00:00"/>
    <n v="74"/>
    <n v="69"/>
    <n v="3"/>
    <n v="0"/>
    <n v="0.95283018867924529"/>
    <n v="0.87788778877887785"/>
    <n v="41814"/>
    <n v="7.2463768115942032E-2"/>
    <n v="1"/>
    <n v="0.46117875118110657"/>
    <n v="1"/>
    <s v="Poor"/>
  </r>
  <r>
    <s v="PO1153"/>
    <s v="V004"/>
    <x v="1"/>
    <s v="Capacitor"/>
    <x v="3"/>
    <n v="3956"/>
    <n v="3672"/>
    <d v="2026-01-05T00:00:00"/>
    <d v="2026-01-13T00:00:00"/>
    <n v="334"/>
    <n v="181"/>
    <n v="8"/>
    <n v="0"/>
    <n v="0.92821031344792715"/>
    <n v="0.90904139433551201"/>
    <n v="664632"/>
    <n v="2.7624309392265192E-2"/>
    <n v="1"/>
    <n v="0.46111691192946552"/>
    <n v="1"/>
    <s v="Poor"/>
  </r>
  <r>
    <s v="PO1001"/>
    <s v="V006"/>
    <x v="9"/>
    <s v="IC"/>
    <x v="0"/>
    <n v="3249"/>
    <n v="3071"/>
    <d v="2026-12-27T00:00:00"/>
    <d v="2027-01-05T00:00:00"/>
    <n v="369"/>
    <n v="151"/>
    <n v="9"/>
    <n v="0"/>
    <n v="0.94521391197291471"/>
    <n v="0.87984369912080751"/>
    <n v="463721"/>
    <n v="3.3112582781456956E-2"/>
    <n v="1"/>
    <n v="0.45630715040897091"/>
    <n v="1"/>
    <s v="Poor"/>
  </r>
  <r>
    <s v="PO1470"/>
    <s v="V006"/>
    <x v="9"/>
    <s v="PCB"/>
    <x v="2"/>
    <n v="2364"/>
    <n v="2179"/>
    <d v="2026-05-13T00:00:00"/>
    <d v="2026-05-22T00:00:00"/>
    <n v="266"/>
    <n v="63"/>
    <n v="9"/>
    <n v="0"/>
    <n v="0.92174280879864634"/>
    <n v="0.8779256539697109"/>
    <n v="137277"/>
    <n v="7.9365079365079361E-2"/>
    <n v="1"/>
    <n v="0.45566276588715049"/>
    <n v="1"/>
    <s v="Poor"/>
  </r>
  <r>
    <s v="PO1227"/>
    <s v="V006"/>
    <x v="9"/>
    <s v="IC"/>
    <x v="2"/>
    <n v="4663"/>
    <n v="4290"/>
    <d v="2026-05-31T00:00:00"/>
    <d v="2026-06-06T00:00:00"/>
    <n v="516"/>
    <n v="74"/>
    <n v="6"/>
    <n v="0"/>
    <n v="0.92000857816856096"/>
    <n v="0.87972027972027977"/>
    <n v="317460"/>
    <n v="6.7567567567567571E-2"/>
    <n v="1"/>
    <n v="0.45467455630655285"/>
    <n v="1"/>
    <s v="Poor"/>
  </r>
  <r>
    <s v="PO1037"/>
    <s v="V006"/>
    <x v="9"/>
    <s v="Connector"/>
    <x v="9"/>
    <n v="2469"/>
    <n v="2298"/>
    <d v="2026-08-12T00:00:00"/>
    <d v="2026-08-21T00:00:00"/>
    <n v="281"/>
    <n v="103"/>
    <n v="9"/>
    <n v="0"/>
    <n v="0.93074119076549211"/>
    <n v="0.87771975630983468"/>
    <n v="236694"/>
    <n v="4.8543689320388349E-2"/>
    <n v="1"/>
    <n v="0.45431853397808769"/>
    <n v="1"/>
    <s v="Poor"/>
  </r>
  <r>
    <s v="PO1449"/>
    <s v="V006"/>
    <x v="9"/>
    <s v="IC"/>
    <x v="11"/>
    <n v="3346"/>
    <n v="3121"/>
    <d v="2026-03-26T00:00:00"/>
    <d v="2026-04-02T00:00:00"/>
    <n v="376"/>
    <n v="142"/>
    <n v="7"/>
    <n v="0"/>
    <n v="0.9327555289898386"/>
    <n v="0.87952579301505929"/>
    <n v="443182"/>
    <n v="3.5211267605633804E-2"/>
    <n v="1"/>
    <n v="0.45392997046304889"/>
    <n v="1"/>
    <s v="Poor"/>
  </r>
  <r>
    <s v="PO1075"/>
    <s v="V006"/>
    <x v="9"/>
    <s v="Connector"/>
    <x v="1"/>
    <n v="1350"/>
    <n v="1243"/>
    <d v="2026-07-22T00:00:00"/>
    <d v="2026-07-29T00:00:00"/>
    <n v="151"/>
    <n v="85"/>
    <n v="7"/>
    <n v="0"/>
    <n v="0.92074074074074075"/>
    <n v="0.87851971037811749"/>
    <n v="105655"/>
    <n v="5.8823529411764705E-2"/>
    <n v="1"/>
    <n v="0.45358641420275986"/>
    <n v="1"/>
    <s v="Poor"/>
  </r>
  <r>
    <s v="PO1463"/>
    <s v="V006"/>
    <x v="9"/>
    <s v="Capacitor"/>
    <x v="3"/>
    <n v="2032"/>
    <n v="1873"/>
    <d v="2026-01-13T00:00:00"/>
    <d v="2026-01-14T00:00:00"/>
    <n v="226"/>
    <n v="141"/>
    <n v="1"/>
    <n v="0"/>
    <n v="0.92175196850393704"/>
    <n v="0.87933796049119062"/>
    <n v="264093"/>
    <n v="3.5460992907801421E-2"/>
    <n v="1"/>
    <n v="0.45169788113892473"/>
    <n v="1"/>
    <s v="Po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1ACB38-A4DE-4399-8C34-F42D7CEEE6BB}" name="PivotTable18"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6:G57" firstHeaderRow="0" firstDataRow="1" firstDataCol="1"/>
  <pivotFields count="21">
    <pivotField showAll="0"/>
    <pivotField showAll="0"/>
    <pivotField axis="axisRow" showAll="0" sortType="descending">
      <items count="11">
        <item x="2"/>
        <item x="8"/>
        <item x="1"/>
        <item x="3"/>
        <item x="6"/>
        <item x="5"/>
        <item x="9"/>
        <item x="4"/>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showAll="0"/>
    <pivotField showAll="0"/>
    <pivotField showAll="0"/>
    <pivotField dataField="1" numFmtId="9" showAll="0"/>
    <pivotField numFmtId="9" showAll="0"/>
    <pivotField dataField="1" numFmtId="9" showAll="0"/>
    <pivotField showAll="0"/>
    <pivotField numFmtId="9" showAll="0"/>
    <pivotField showAll="0"/>
    <pivotField numFmtId="9" showAll="0"/>
    <pivotField showAll="0"/>
    <pivotField showAll="0"/>
  </pivotFields>
  <rowFields count="1">
    <field x="2"/>
  </rowFields>
  <rowItems count="11">
    <i>
      <x v="8"/>
    </i>
    <i>
      <x v="3"/>
    </i>
    <i>
      <x/>
    </i>
    <i>
      <x v="5"/>
    </i>
    <i>
      <x v="4"/>
    </i>
    <i>
      <x v="2"/>
    </i>
    <i>
      <x v="1"/>
    </i>
    <i>
      <x v="7"/>
    </i>
    <i>
      <x v="9"/>
    </i>
    <i>
      <x v="6"/>
    </i>
    <i t="grand">
      <x/>
    </i>
  </rowItems>
  <colFields count="1">
    <field x="-2"/>
  </colFields>
  <colItems count="2">
    <i>
      <x/>
    </i>
    <i i="1">
      <x v="1"/>
    </i>
  </colItems>
  <dataFields count="2">
    <dataField name="Average of OTD" fld="12" subtotal="average" baseField="2" baseItem="0" numFmtId="9"/>
    <dataField name="Average of Quality Rate" fld="14" subtotal="average" baseField="2"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570142-EE82-4967-8878-9E22AAB15B86}" name="PivotTable1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7:K28" firstHeaderRow="1" firstDataRow="1" firstDataCol="1"/>
  <pivotFields count="21">
    <pivotField showAll="0"/>
    <pivotField showAll="0"/>
    <pivotField axis="axisRow" showAll="0" sortType="descending">
      <items count="11">
        <item x="2"/>
        <item x="8"/>
        <item x="1"/>
        <item x="3"/>
        <item x="6"/>
        <item x="5"/>
        <item x="9"/>
        <item x="4"/>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showAll="0"/>
    <pivotField showAll="0"/>
    <pivotField showAll="0"/>
    <pivotField numFmtId="9" showAll="0"/>
    <pivotField numFmtId="9" showAll="0"/>
    <pivotField numFmtId="9" showAll="0"/>
    <pivotField dataField="1" showAll="0"/>
    <pivotField numFmtId="9" showAll="0"/>
    <pivotField showAll="0"/>
    <pivotField numFmtId="9" showAll="0"/>
    <pivotField showAll="0"/>
    <pivotField showAll="0"/>
  </pivotFields>
  <rowFields count="1">
    <field x="2"/>
  </rowFields>
  <rowItems count="11">
    <i>
      <x v="2"/>
    </i>
    <i>
      <x v="5"/>
    </i>
    <i>
      <x v="8"/>
    </i>
    <i>
      <x v="4"/>
    </i>
    <i>
      <x v="3"/>
    </i>
    <i>
      <x v="9"/>
    </i>
    <i>
      <x v="1"/>
    </i>
    <i>
      <x v="6"/>
    </i>
    <i>
      <x/>
    </i>
    <i>
      <x v="7"/>
    </i>
    <i t="grand">
      <x/>
    </i>
  </rowItems>
  <colItems count="1">
    <i/>
  </colItems>
  <dataFields count="1">
    <dataField name="Sum of Order Val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BC6693-B41D-4974-A6D2-248CAAEEED16}" name="PivotTable7"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O14" firstHeaderRow="0" firstDataRow="1" firstDataCol="1"/>
  <pivotFields count="21">
    <pivotField showAll="0"/>
    <pivotField showAll="0"/>
    <pivotField axis="axisRow" showAll="0">
      <items count="11">
        <item x="2"/>
        <item x="8"/>
        <item x="1"/>
        <item x="3"/>
        <item x="6"/>
        <item x="5"/>
        <item x="9"/>
        <item x="4"/>
        <item x="0"/>
        <item x="7"/>
        <item t="default"/>
      </items>
    </pivotField>
    <pivotField showAll="0"/>
    <pivotField showAll="0"/>
    <pivotField showAll="0"/>
    <pivotField showAll="0"/>
    <pivotField numFmtId="164" showAll="0"/>
    <pivotField numFmtId="164" showAll="0"/>
    <pivotField showAll="0"/>
    <pivotField showAll="0"/>
    <pivotField showAll="0"/>
    <pivotField numFmtId="9" showAll="0"/>
    <pivotField dataField="1" numFmtId="9" showAll="0"/>
    <pivotField dataField="1" numFmtId="9" showAll="0"/>
    <pivotField dataField="1" showAll="0"/>
    <pivotField numFmtId="9" showAll="0"/>
    <pivotField dataField="1" showAll="0"/>
    <pivotField dataField="1" numFmtId="9" showAll="0"/>
    <pivotField showAll="0"/>
    <pivotField showAll="0"/>
  </pivotFields>
  <rowFields count="1">
    <field x="2"/>
  </rowFields>
  <rowItems count="11">
    <i>
      <x/>
    </i>
    <i>
      <x v="1"/>
    </i>
    <i>
      <x v="2"/>
    </i>
    <i>
      <x v="3"/>
    </i>
    <i>
      <x v="4"/>
    </i>
    <i>
      <x v="5"/>
    </i>
    <i>
      <x v="6"/>
    </i>
    <i>
      <x v="7"/>
    </i>
    <i>
      <x v="8"/>
    </i>
    <i>
      <x v="9"/>
    </i>
    <i t="grand">
      <x/>
    </i>
  </rowItems>
  <colFields count="1">
    <field x="-2"/>
  </colFields>
  <colItems count="5">
    <i>
      <x/>
    </i>
    <i i="1">
      <x v="1"/>
    </i>
    <i i="2">
      <x v="2"/>
    </i>
    <i i="3">
      <x v="3"/>
    </i>
    <i i="4">
      <x v="4"/>
    </i>
  </colItems>
  <dataFields count="5">
    <dataField name="Average of Fill Rate" fld="13" subtotal="average" baseField="2" baseItem="0" numFmtId="9"/>
    <dataField name="Average of Quality Rate" fld="14" subtotal="average" baseField="2" baseItem="0" numFmtId="9"/>
    <dataField name="Sum of Order Value" fld="15" baseField="0" baseItem="0" numFmtId="173"/>
    <dataField name="Average of Vendor Score" fld="18" subtotal="average" baseField="2" baseItem="0" numFmtId="9"/>
    <dataField name="Sum of OTD in Values" fld="17" baseField="0" baseItem="0"/>
  </dataFields>
  <formats count="1">
    <format dxfId="10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EB54C1-BB56-4DD6-9B69-528164453399}"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17:B30" firstHeaderRow="1" firstDataRow="1" firstDataCol="1"/>
  <pivotFields count="21">
    <pivotField showAll="0"/>
    <pivotField showAll="0"/>
    <pivotField showAll="0">
      <items count="11">
        <item x="2"/>
        <item x="8"/>
        <item x="1"/>
        <item x="3"/>
        <item x="6"/>
        <item x="5"/>
        <item x="9"/>
        <item x="4"/>
        <item x="0"/>
        <item x="7"/>
        <item t="default"/>
      </items>
    </pivotField>
    <pivotField showAll="0"/>
    <pivotField axis="axisRow" showAll="0">
      <items count="13">
        <item x="3"/>
        <item x="10"/>
        <item x="11"/>
        <item x="5"/>
        <item x="2"/>
        <item x="6"/>
        <item x="1"/>
        <item x="9"/>
        <item x="8"/>
        <item x="7"/>
        <item x="4"/>
        <item x="0"/>
        <item t="default"/>
      </items>
    </pivotField>
    <pivotField showAll="0"/>
    <pivotField showAll="0"/>
    <pivotField numFmtId="164" showAll="0"/>
    <pivotField numFmtId="164" showAll="0"/>
    <pivotField showAll="0"/>
    <pivotField showAll="0"/>
    <pivotField showAll="0"/>
    <pivotField showAll="0"/>
    <pivotField showAll="0"/>
    <pivotField showAll="0"/>
    <pivotField dataField="1" showAll="0"/>
    <pivotField numFmtId="9"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Order Val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E7F030-ABF2-4FE1-95E9-73CE98F1F9FB}" name="PivotTable19"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 Name">
  <location ref="D32:E43" firstHeaderRow="1" firstDataRow="1" firstDataCol="1"/>
  <pivotFields count="21">
    <pivotField showAll="0"/>
    <pivotField showAll="0"/>
    <pivotField axis="axisRow" showAll="0" sortType="descending">
      <items count="11">
        <item x="2"/>
        <item x="8"/>
        <item x="1"/>
        <item x="3"/>
        <item x="6"/>
        <item x="5"/>
        <item x="9"/>
        <item x="4"/>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showAll="0"/>
    <pivotField showAll="0"/>
    <pivotField showAll="0"/>
    <pivotField numFmtId="9" showAll="0"/>
    <pivotField numFmtId="9" showAll="0"/>
    <pivotField numFmtId="9" showAll="0"/>
    <pivotField dataField="1" showAll="0"/>
    <pivotField numFmtId="9" showAll="0"/>
    <pivotField showAll="0"/>
    <pivotField numFmtId="9" showAll="0"/>
    <pivotField showAll="0"/>
    <pivotField showAll="0"/>
  </pivotFields>
  <rowFields count="1">
    <field x="2"/>
  </rowFields>
  <rowItems count="11">
    <i>
      <x v="2"/>
    </i>
    <i>
      <x v="5"/>
    </i>
    <i>
      <x v="8"/>
    </i>
    <i>
      <x v="4"/>
    </i>
    <i>
      <x v="3"/>
    </i>
    <i>
      <x v="9"/>
    </i>
    <i>
      <x v="1"/>
    </i>
    <i>
      <x v="6"/>
    </i>
    <i>
      <x/>
    </i>
    <i>
      <x v="7"/>
    </i>
    <i t="grand">
      <x/>
    </i>
  </rowItems>
  <colItems count="1">
    <i/>
  </colItems>
  <dataFields count="1">
    <dataField name="Sum of Order Value" fld="15" baseField="0" baseItem="0" numFmtId="165"/>
  </dataFields>
  <formats count="1">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AB892E-618E-46CE-9B49-E17CE3DEDE5D}" name="PivotTable6"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3:B44" firstHeaderRow="1" firstDataRow="1" firstDataCol="1"/>
  <pivotFields count="21">
    <pivotField showAll="0"/>
    <pivotField showAll="0"/>
    <pivotField axis="axisRow" showAll="0" sortType="descending">
      <items count="11">
        <item x="2"/>
        <item x="8"/>
        <item x="1"/>
        <item x="3"/>
        <item x="6"/>
        <item x="5"/>
        <item x="9"/>
        <item x="4"/>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showAll="0"/>
    <pivotField showAll="0"/>
    <pivotField showAll="0"/>
    <pivotField dataField="1" numFmtId="9" showAll="0"/>
    <pivotField numFmtId="9" showAll="0"/>
    <pivotField numFmtId="9" showAll="0"/>
    <pivotField showAll="0"/>
    <pivotField numFmtId="9" showAll="0"/>
    <pivotField showAll="0"/>
    <pivotField numFmtId="9" showAll="0"/>
    <pivotField showAll="0"/>
    <pivotField showAll="0"/>
  </pivotFields>
  <rowFields count="1">
    <field x="2"/>
  </rowFields>
  <rowItems count="11">
    <i>
      <x v="8"/>
    </i>
    <i>
      <x v="3"/>
    </i>
    <i>
      <x/>
    </i>
    <i>
      <x v="5"/>
    </i>
    <i>
      <x v="4"/>
    </i>
    <i>
      <x v="2"/>
    </i>
    <i>
      <x v="1"/>
    </i>
    <i>
      <x v="7"/>
    </i>
    <i>
      <x v="9"/>
    </i>
    <i>
      <x v="6"/>
    </i>
    <i t="grand">
      <x/>
    </i>
  </rowItems>
  <colItems count="1">
    <i/>
  </colItems>
  <dataFields count="1">
    <dataField name="Average of OTD" fld="12" subtotal="average" baseField="2" baseItem="0" numFmtId="9"/>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654AF6-6333-49F1-BDAA-9696A0F0384C}" name="PivotTable4"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 Name">
  <location ref="G3:H14" firstHeaderRow="1" firstDataRow="1" firstDataCol="1"/>
  <pivotFields count="21">
    <pivotField showAll="0"/>
    <pivotField showAll="0"/>
    <pivotField axis="axisRow" showAll="0" sortType="descending">
      <items count="11">
        <item x="2"/>
        <item x="8"/>
        <item x="1"/>
        <item x="3"/>
        <item x="6"/>
        <item x="5"/>
        <item x="9"/>
        <item x="4"/>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dataField="1" showAll="0"/>
    <pivotField showAll="0"/>
    <pivotField showAll="0"/>
    <pivotField showAll="0"/>
    <pivotField showAll="0"/>
    <pivotField showAll="0"/>
    <pivotField showAll="0"/>
    <pivotField numFmtId="9" showAll="0"/>
    <pivotField showAll="0"/>
    <pivotField showAll="0"/>
    <pivotField showAll="0"/>
    <pivotField showAll="0"/>
  </pivotFields>
  <rowFields count="1">
    <field x="2"/>
  </rowFields>
  <rowItems count="11">
    <i>
      <x v="6"/>
    </i>
    <i>
      <x v="2"/>
    </i>
    <i>
      <x v="4"/>
    </i>
    <i>
      <x v="9"/>
    </i>
    <i>
      <x v="5"/>
    </i>
    <i>
      <x v="7"/>
    </i>
    <i>
      <x v="1"/>
    </i>
    <i>
      <x v="3"/>
    </i>
    <i>
      <x v="8"/>
    </i>
    <i>
      <x/>
    </i>
    <i t="grand">
      <x/>
    </i>
  </rowItems>
  <colItems count="1">
    <i/>
  </colItems>
  <dataFields count="1">
    <dataField name="Sum of Defect Q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1C072B-A697-4262-841A-1CA4292DDC34}" name="PivotTable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rowHeaderCaption="Supplier Name">
  <location ref="A3:E14" firstHeaderRow="0" firstDataRow="1" firstDataCol="1"/>
  <pivotFields count="21">
    <pivotField showAll="0"/>
    <pivotField showAll="0"/>
    <pivotField axis="axisRow" showAll="0" sortType="descending">
      <items count="11">
        <item x="7"/>
        <item x="0"/>
        <item x="4"/>
        <item x="9"/>
        <item x="5"/>
        <item x="6"/>
        <item x="3"/>
        <item x="1"/>
        <item x="8"/>
        <item x="2"/>
        <item t="default"/>
      </items>
    </pivotField>
    <pivotField showAll="0"/>
    <pivotField showAll="0">
      <items count="13">
        <item x="3"/>
        <item x="10"/>
        <item x="11"/>
        <item x="5"/>
        <item x="2"/>
        <item x="6"/>
        <item x="1"/>
        <item x="9"/>
        <item x="8"/>
        <item x="7"/>
        <item x="4"/>
        <item x="0"/>
        <item t="default"/>
      </items>
    </pivotField>
    <pivotField showAll="0"/>
    <pivotField showAll="0"/>
    <pivotField numFmtId="164" showAll="0"/>
    <pivotField numFmtId="164" showAll="0"/>
    <pivotField showAll="0"/>
    <pivotField showAll="0"/>
    <pivotField showAll="0"/>
    <pivotField dataField="1" showAll="0"/>
    <pivotField showAll="0"/>
    <pivotField dataField="1" showAll="0"/>
    <pivotField showAll="0"/>
    <pivotField dataField="1" numFmtId="9" showAll="0"/>
    <pivotField showAll="0"/>
    <pivotField dataField="1" showAll="0"/>
    <pivotField showAll="0"/>
    <pivotField showAll="0"/>
  </pivotFields>
  <rowFields count="1">
    <field x="2"/>
  </rowFields>
  <rowItems count="11">
    <i>
      <x/>
    </i>
    <i>
      <x v="1"/>
    </i>
    <i>
      <x v="2"/>
    </i>
    <i>
      <x v="3"/>
    </i>
    <i>
      <x v="4"/>
    </i>
    <i>
      <x v="5"/>
    </i>
    <i>
      <x v="6"/>
    </i>
    <i>
      <x v="7"/>
    </i>
    <i>
      <x v="8"/>
    </i>
    <i>
      <x v="9"/>
    </i>
    <i t="grand">
      <x/>
    </i>
  </rowItems>
  <colFields count="1">
    <field x="-2"/>
  </colFields>
  <colItems count="4">
    <i>
      <x/>
    </i>
    <i i="1">
      <x v="1"/>
    </i>
    <i i="2">
      <x v="2"/>
    </i>
    <i i="3">
      <x v="3"/>
    </i>
  </colItems>
  <dataFields count="4">
    <dataField name="Average of OTD" fld="12" subtotal="average" baseField="2" baseItem="0"/>
    <dataField name="Average of Quality Rate" fld="14" subtotal="average" baseField="2" baseItem="8"/>
    <dataField name="Average of Cost Score" fld="16" subtotal="average" baseField="2" baseItem="8" numFmtId="9"/>
    <dataField name="Average of Vendor Score" fld="18" subtotal="average" baseField="0" baseItem="0"/>
  </dataFields>
  <formats count="1">
    <format dxfId="114">
      <pivotArea outline="0" collapsedLevelsAreSubtotals="1"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2E265B-2119-4C33-87CA-B4589DE5B49F}" name="PivotTable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 Name">
  <location ref="D17:E28" firstHeaderRow="1" firstDataRow="1" firstDataCol="1"/>
  <pivotFields count="21">
    <pivotField showAll="0"/>
    <pivotField showAll="0"/>
    <pivotField axis="axisRow" showAll="0" sortType="descending">
      <items count="11">
        <item x="2"/>
        <item x="8"/>
        <item x="1"/>
        <item x="3"/>
        <item x="6"/>
        <item x="5"/>
        <item x="9"/>
        <item x="4"/>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numFmtId="9" showAll="0"/>
    <pivotField dataField="1" showAll="0"/>
    <pivotField showAll="0"/>
    <pivotField showAll="0"/>
    <pivotField showAll="0"/>
  </pivotFields>
  <rowFields count="1">
    <field x="2"/>
  </rowFields>
  <rowItems count="11">
    <i>
      <x v="6"/>
    </i>
    <i>
      <x v="9"/>
    </i>
    <i>
      <x v="7"/>
    </i>
    <i>
      <x v="2"/>
    </i>
    <i>
      <x v="4"/>
    </i>
    <i>
      <x v="1"/>
    </i>
    <i>
      <x v="5"/>
    </i>
    <i>
      <x/>
    </i>
    <i>
      <x v="3"/>
    </i>
    <i>
      <x v="8"/>
    </i>
    <i t="grand">
      <x/>
    </i>
  </rowItems>
  <colItems count="1">
    <i/>
  </colItems>
  <dataFields count="1">
    <dataField name="Sum of OTD in Values" fld="17" baseField="2" baseItem="0"/>
  </dataFields>
  <formats count="1">
    <format dxfId="1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842847-7710-4B01-ACA8-E3DCE31C2EF8}" name="PivotTable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upplier Name">
  <location ref="G17:H28" firstHeaderRow="1" firstDataRow="1" firstDataCol="1"/>
  <pivotFields count="21">
    <pivotField showAll="0"/>
    <pivotField showAll="0"/>
    <pivotField axis="axisRow" showAll="0" sortType="descending">
      <items count="11">
        <item x="2"/>
        <item x="8"/>
        <item x="1"/>
        <item x="3"/>
        <item x="6"/>
        <item x="5"/>
        <item x="9"/>
        <item x="4"/>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showAll="0"/>
    <pivotField showAll="0"/>
    <pivotField showAll="0"/>
    <pivotField numFmtId="9" showAll="0"/>
    <pivotField numFmtId="9" showAll="0"/>
    <pivotField numFmtId="9" showAll="0"/>
    <pivotField dataField="1" showAll="0"/>
    <pivotField numFmtId="9" showAll="0"/>
    <pivotField showAll="0"/>
    <pivotField numFmtId="9" showAll="0"/>
    <pivotField showAll="0"/>
    <pivotField showAll="0"/>
  </pivotFields>
  <rowFields count="1">
    <field x="2"/>
  </rowFields>
  <rowItems count="11">
    <i>
      <x v="2"/>
    </i>
    <i>
      <x v="5"/>
    </i>
    <i>
      <x v="8"/>
    </i>
    <i>
      <x v="4"/>
    </i>
    <i>
      <x v="3"/>
    </i>
    <i>
      <x v="9"/>
    </i>
    <i>
      <x v="1"/>
    </i>
    <i>
      <x v="6"/>
    </i>
    <i>
      <x/>
    </i>
    <i>
      <x v="7"/>
    </i>
    <i t="grand">
      <x/>
    </i>
  </rowItems>
  <colItems count="1">
    <i/>
  </colItems>
  <dataFields count="1">
    <dataField name="Sum of Order Value" fld="15" baseField="0" baseItem="0" numFmtId="172"/>
  </dataFields>
  <formats count="1">
    <format dxfId="112">
      <pivotArea outline="0" collapsedLevelsAreSubtotals="1" fieldPosition="0"/>
    </format>
  </format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407BAA-D0C3-4A99-9E4B-3937C04DFEB7}" name="PivotTable20"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4" rowHeaderCaption="Supplier Name">
  <location ref="G32:H43" firstHeaderRow="1" firstDataRow="1" firstDataCol="1"/>
  <pivotFields count="21">
    <pivotField showAll="0"/>
    <pivotField showAll="0"/>
    <pivotField axis="axisRow" showAll="0" sortType="descending">
      <items count="11">
        <item x="2"/>
        <item x="8"/>
        <item x="1"/>
        <item x="3"/>
        <item x="6"/>
        <item x="5"/>
        <item x="9"/>
        <item x="4"/>
        <item x="0"/>
        <item x="7"/>
        <item t="default"/>
      </items>
      <autoSortScope>
        <pivotArea dataOnly="0" outline="0" fieldPosition="0">
          <references count="1">
            <reference field="4294967294" count="1" selected="0">
              <x v="0"/>
            </reference>
          </references>
        </pivotArea>
      </autoSortScope>
    </pivotField>
    <pivotField showAll="0"/>
    <pivotField showAll="0">
      <items count="13">
        <item x="3"/>
        <item x="10"/>
        <item x="11"/>
        <item x="5"/>
        <item x="2"/>
        <item x="6"/>
        <item x="1"/>
        <item x="9"/>
        <item x="8"/>
        <item x="7"/>
        <item x="4"/>
        <item x="0"/>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s>
  <rowFields count="1">
    <field x="2"/>
  </rowFields>
  <rowItems count="11">
    <i>
      <x v="8"/>
    </i>
    <i>
      <x/>
    </i>
    <i>
      <x v="3"/>
    </i>
    <i>
      <x v="5"/>
    </i>
    <i>
      <x v="4"/>
    </i>
    <i>
      <x v="1"/>
    </i>
    <i>
      <x v="2"/>
    </i>
    <i>
      <x v="7"/>
    </i>
    <i>
      <x v="9"/>
    </i>
    <i>
      <x v="6"/>
    </i>
    <i t="grand">
      <x/>
    </i>
  </rowItems>
  <colItems count="1">
    <i/>
  </colItems>
  <dataFields count="1">
    <dataField name="Average of Vendor Score" fld="18" subtotal="average" baseField="2" baseItem="4" numFmtId="9"/>
  </dataFields>
  <formats count="2">
    <format dxfId="110">
      <pivotArea collapsedLevelsAreSubtotals="1" fieldPosition="0">
        <references count="1">
          <reference field="2" count="0"/>
        </references>
      </pivotArea>
    </format>
    <format dxfId="111">
      <pivotArea outline="0" collapsedLevelsAreSubtotals="1" fieldPosition="0"/>
    </format>
  </formats>
  <chartFormats count="2">
    <chartFormat chart="50" format="4" series="1">
      <pivotArea type="data" outline="0" fieldPosition="0">
        <references count="1">
          <reference field="4294967294" count="1" selected="0">
            <x v="0"/>
          </reference>
        </references>
      </pivotArea>
    </chartFormat>
    <chartFormat chart="50"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1" xr10:uid="{C212AE09-379D-486B-BF20-1BFA1A4AA1C9}" sourceName="Vendor Name">
  <pivotTables>
    <pivotTable tabId="2" name="PivotTable1"/>
    <pivotTable tabId="2" name="PivotTable2"/>
    <pivotTable tabId="2" name="PivotTable3"/>
    <pivotTable tabId="2" name="PivotTable4"/>
    <pivotTable tabId="2" name="PivotTable5"/>
    <pivotTable tabId="2" name="PivotTable20"/>
    <pivotTable tabId="2" name="PivotTable19"/>
    <pivotTable tabId="2" name="PivotTable6"/>
    <pivotTable tabId="2" name="PivotTable7"/>
  </pivotTables>
  <data>
    <tabular pivotCacheId="89049384">
      <items count="10">
        <i x="2" s="1"/>
        <i x="8" s="1"/>
        <i x="1" s="1"/>
        <i x="3" s="1"/>
        <i x="6" s="1"/>
        <i x="5" s="1"/>
        <i x="9" s="1"/>
        <i x="4"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263FA5F-60E6-4AC4-9EF2-8A3393454D95}" sourceName="Month">
  <pivotTables>
    <pivotTable tabId="2" name="PivotTable1"/>
    <pivotTable tabId="2" name="PivotTable20"/>
  </pivotTables>
  <data>
    <tabular pivotCacheId="89049384">
      <items count="12">
        <i x="3" s="1"/>
        <i x="10" s="1"/>
        <i x="11" s="1"/>
        <i x="5" s="1"/>
        <i x="2" s="1"/>
        <i x="6" s="1"/>
        <i x="1" s="1"/>
        <i x="9" s="1"/>
        <i x="8" s="1"/>
        <i x="7"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Name" xr10:uid="{7B446971-68FA-457C-9344-CC05F144B083}" cache="Slicer_Vendor_Name1" caption="Vendor Name" rowHeight="251883"/>
  <slicer name="Month" xr10:uid="{5DA2DD49-9BC5-484F-A1BF-4FC83301B37B}" cache="Slicer_Month" caption="Month"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Name 2" xr10:uid="{AB69E322-5C70-446A-A5D2-977B3BC2F91B}" cache="Slicer_Vendor_Name1" caption="Vendor Nam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Name 1" xr10:uid="{15B6CFCB-78C4-4740-93E8-3E87A132A768}" cache="Slicer_Vendor_Name1" caption="Vendor Name" rowHeight="251883"/>
  <slicer name="Month 1" xr10:uid="{8DBF6BC2-4A15-4E32-A261-F8714F7B55ED}" cache="Slicer_Month" caption="Mon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3FA47C-A54C-4BFB-B7F5-C5FDF2EF9E76}" name="Table2" displayName="Table2" ref="A3:S51" totalsRowShown="0">
  <autoFilter ref="A3:S51" xr:uid="{673FA47C-A54C-4BFB-B7F5-C5FDF2EF9E76}"/>
  <tableColumns count="19">
    <tableColumn id="1" xr3:uid="{1AB3B8A2-618A-4A7A-81D4-AFA28E057AFD}" name="PO Number"/>
    <tableColumn id="2" xr3:uid="{830AE83C-E244-4701-9679-CDA0A67DE7B8}" name="Vendor ID"/>
    <tableColumn id="3" xr3:uid="{4A66EE98-2819-40C3-B040-F6C2F2CAE4C8}" name="Vendor Name"/>
    <tableColumn id="4" xr3:uid="{7AC4F3D2-D730-4AC2-A8D1-8C4B9A9CDE72}" name="Category"/>
    <tableColumn id="5" xr3:uid="{8C9D610A-EFD9-4F54-8174-D6AEFC3143C8}" name="Month"/>
    <tableColumn id="6" xr3:uid="{8D9C021E-2CF9-49CD-88F6-18908FEE1527}" name="Order Qty"/>
    <tableColumn id="7" xr3:uid="{3BF8B350-F2F6-4637-A9FF-610852625656}" name="Received Qty"/>
    <tableColumn id="8" xr3:uid="{50947FB8-2A20-4256-8693-F1FD9905A9B0}" name="Planned Date" dataDxfId="123"/>
    <tableColumn id="9" xr3:uid="{0ACA62E9-5586-4AB0-AE3C-C2A4CD1F292F}" name="Actual Receipt Date" dataDxfId="122"/>
    <tableColumn id="10" xr3:uid="{CBC197DE-5975-4EBB-BCC8-F1A8D740F40C}" name="Defect Qty"/>
    <tableColumn id="11" xr3:uid="{C4D04864-462A-40BE-A2AF-13A88EEF568A}" name="Unit Price"/>
    <tableColumn id="12" xr3:uid="{8D3F93ED-6B2C-4B6B-92F6-8C4BFF543758}" name="Delivery Delay"/>
    <tableColumn id="13" xr3:uid="{8D8CDA08-62B6-4D50-BDB3-3E3CB9AAFDD2}" name="OTD"/>
    <tableColumn id="14" xr3:uid="{2E54D605-5796-4C1D-A186-A7083D9BB73C}" name="Fill Rate"/>
    <tableColumn id="15" xr3:uid="{8BCD9079-34C1-418F-8B7E-0E445D938E9E}" name="Quality Rate"/>
    <tableColumn id="16" xr3:uid="{FB9E8B5F-5653-4F23-8C62-409DAE792F1C}" name="Order Value"/>
    <tableColumn id="17" xr3:uid="{0A84E78F-28A8-48C9-BF69-684988B0EC17}" name="Cost Score"/>
    <tableColumn id="18" xr3:uid="{4D6DAF06-5200-497B-A683-EC5CC4BAB1D2}" name="OTD in Values"/>
    <tableColumn id="19" xr3:uid="{CEE797D1-9F21-41B2-9F50-498A9A6F29ED}" name="Vendor 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520BE2-376E-4FAB-B22A-1E20CFECAF94}" name="Table1" displayName="Table1" ref="A1:U501" totalsRowShown="0">
  <autoFilter ref="A1:U501" xr:uid="{38520BE2-376E-4FAB-B22A-1E20CFECAF94}"/>
  <sortState xmlns:xlrd2="http://schemas.microsoft.com/office/spreadsheetml/2017/richdata2" ref="A2:S501">
    <sortCondition descending="1" ref="S1:S501"/>
  </sortState>
  <tableColumns count="21">
    <tableColumn id="1" xr3:uid="{F2D6D65D-F1D5-4CF9-9A62-C43DF5B4EFF2}" name="PO Number"/>
    <tableColumn id="2" xr3:uid="{3DCEB571-9C93-4F02-8F91-6147DFDE431E}" name="Vendor ID"/>
    <tableColumn id="3" xr3:uid="{148A021D-9637-41B8-9E4A-1678934EA761}" name="Vendor Name"/>
    <tableColumn id="4" xr3:uid="{295D673A-4290-4705-8C47-C8F7B9BCF1CA}" name="Category"/>
    <tableColumn id="5" xr3:uid="{E98332D4-D319-47A2-BD73-35BEA5EC84FF}" name="Month"/>
    <tableColumn id="6" xr3:uid="{035D4DE2-0114-42CA-A81B-AB62B39C2BBB}" name="Order Qty"/>
    <tableColumn id="7" xr3:uid="{CF8A0E85-C860-416A-A7A9-CE0C54215B64}" name="Received Qty"/>
    <tableColumn id="8" xr3:uid="{8A56AF3F-AE27-45A8-B42C-9828BAD7F2A9}" name="Planned Date" dataDxfId="121"/>
    <tableColumn id="9" xr3:uid="{97A3DDD9-4DD6-466C-BC1F-DFFC3B8AB9D2}" name="Actual Receipt Date" dataDxfId="120"/>
    <tableColumn id="10" xr3:uid="{D22B7DE0-4A8A-4BA4-B7FB-738F7D000AA8}" name="Defect Qty"/>
    <tableColumn id="11" xr3:uid="{4DED3555-BBBA-4A69-A305-D83F1875D2E5}" name="Unit Price"/>
    <tableColumn id="12" xr3:uid="{450DCE0A-6E8D-469B-9A60-631D9E5825E6}" name="Delivery Delay">
      <calculatedColumnFormula>I2-H2</calculatedColumnFormula>
    </tableColumn>
    <tableColumn id="13" xr3:uid="{173F9B94-53B0-4F35-84AF-ED081DD86077}" name="OTD" dataCellStyle="Percent">
      <calculatedColumnFormula>IF(L2&lt;=0,1,0)</calculatedColumnFormula>
    </tableColumn>
    <tableColumn id="14" xr3:uid="{95BE355D-FE8F-4D4E-9C43-53DE0B40F2FB}" name="Fill Rate" dataCellStyle="Percent">
      <calculatedColumnFormula>G2/F2</calculatedColumnFormula>
    </tableColumn>
    <tableColumn id="15" xr3:uid="{82CF38D8-DA64-4464-A0CB-E56B812E2EFB}" name="Quality Rate" dataCellStyle="Percent">
      <calculatedColumnFormula>(G2-J2)/G2</calculatedColumnFormula>
    </tableColumn>
    <tableColumn id="16" xr3:uid="{17453036-94E4-494A-B1CA-4B1858CBEFE0}" name="Order Value">
      <calculatedColumnFormula>G2*K2</calculatedColumnFormula>
    </tableColumn>
    <tableColumn id="18" xr3:uid="{3114436D-2403-4FBD-A51D-AA74A9FEBBE5}" name="Cost Score" dataDxfId="119" dataCellStyle="Percent">
      <calculatedColumnFormula>MIN(Table1[Unit Price])/Table1[[#This Row],[Unit Price]]</calculatedColumnFormula>
    </tableColumn>
    <tableColumn id="21" xr3:uid="{6959812C-B54F-4F8E-9C79-16312CDD9F27}" name="OTD in Values" dataDxfId="118" dataCellStyle="Percent">
      <calculatedColumnFormula>IF(Table1[[#This Row],[Delivery Delay]]&gt;0,1,0)</calculatedColumnFormula>
    </tableColumn>
    <tableColumn id="20" xr3:uid="{F92FCC14-EFE6-4E25-8CB8-D05584DBB4FD}" name="Vendor Score" dataDxfId="117" dataCellStyle="Percent">
      <calculatedColumnFormula>(Table1[[#This Row],[OTD]]*0.4)+(Table1[[#This Row],[Quality Rate]]*0.3)+(Table1[[#This Row],[Fill Rate]]*0.2)+(Table1[[#This Row],[Cost Score]]*0.1)</calculatedColumnFormula>
    </tableColumn>
    <tableColumn id="24" xr3:uid="{A95105DB-5B75-44DE-8135-5BEE68093093}" name="Column1" dataDxfId="116">
      <calculatedColumnFormula>MAX(Table1[OTD])</calculatedColumnFormula>
    </tableColumn>
    <tableColumn id="25" xr3:uid="{02CF4578-B9AA-445F-B6BA-CDFBF4143B4E}" name="Status" dataDxfId="115">
      <calculatedColumnFormula>IF(Table1[[#This Row],[Vendor Score]]&gt;=90%,"Excellent",IF(Table1[[#This Row],[Vendor Score]]&gt;=75%,"Moderate","Poor"))</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93C51-16C7-4678-B799-F95B76234592}">
  <dimension ref="A1:S51"/>
  <sheetViews>
    <sheetView workbookViewId="0">
      <selection activeCell="A3" sqref="A3:S51"/>
    </sheetView>
  </sheetViews>
  <sheetFormatPr defaultRowHeight="14.5" x14ac:dyDescent="0.35"/>
  <cols>
    <col min="1" max="1" width="12.54296875" bestFit="1" customWidth="1"/>
    <col min="2" max="2" width="11.1796875" bestFit="1" customWidth="1"/>
    <col min="3" max="3" width="15.08984375" bestFit="1" customWidth="1"/>
    <col min="4" max="4" width="10.453125" bestFit="1" customWidth="1"/>
    <col min="5" max="5" width="8.81640625" bestFit="1" customWidth="1"/>
    <col min="6" max="6" width="10.90625" bestFit="1" customWidth="1"/>
    <col min="7" max="7" width="14" bestFit="1" customWidth="1"/>
    <col min="8" max="8" width="14.26953125" bestFit="1" customWidth="1"/>
    <col min="9" max="9" width="19.7265625" bestFit="1" customWidth="1"/>
    <col min="10" max="10" width="11.81640625" bestFit="1" customWidth="1"/>
    <col min="11" max="11" width="11.26953125" bestFit="1" customWidth="1"/>
    <col min="12" max="12" width="15" bestFit="1" customWidth="1"/>
    <col min="13" max="13" width="8.81640625" bestFit="1" customWidth="1"/>
    <col min="14" max="14" width="9.90625" bestFit="1" customWidth="1"/>
    <col min="15" max="15" width="13.26953125" bestFit="1" customWidth="1"/>
    <col min="16" max="16" width="12.81640625" bestFit="1" customWidth="1"/>
    <col min="17" max="17" width="12" bestFit="1" customWidth="1"/>
    <col min="18" max="18" width="14.54296875" bestFit="1" customWidth="1"/>
    <col min="19" max="19" width="14.08984375" bestFit="1" customWidth="1"/>
  </cols>
  <sheetData>
    <row r="1" spans="1:19" x14ac:dyDescent="0.35">
      <c r="A1" s="4" t="s">
        <v>568</v>
      </c>
    </row>
    <row r="3" spans="1:19" x14ac:dyDescent="0.35">
      <c r="A3" t="s">
        <v>0</v>
      </c>
      <c r="B3" t="s">
        <v>1</v>
      </c>
      <c r="C3" t="s">
        <v>2</v>
      </c>
      <c r="D3" t="s">
        <v>3</v>
      </c>
      <c r="E3" t="s">
        <v>4</v>
      </c>
      <c r="F3" t="s">
        <v>5</v>
      </c>
      <c r="G3" t="s">
        <v>6</v>
      </c>
      <c r="H3" t="s">
        <v>7</v>
      </c>
      <c r="I3" t="s">
        <v>8</v>
      </c>
      <c r="J3" t="s">
        <v>9</v>
      </c>
      <c r="K3" t="s">
        <v>10</v>
      </c>
      <c r="L3" t="s">
        <v>547</v>
      </c>
      <c r="M3" t="s">
        <v>548</v>
      </c>
      <c r="N3" t="s">
        <v>549</v>
      </c>
      <c r="O3" t="s">
        <v>550</v>
      </c>
      <c r="P3" t="s">
        <v>551</v>
      </c>
      <c r="Q3" t="s">
        <v>564</v>
      </c>
      <c r="R3" t="s">
        <v>566</v>
      </c>
      <c r="S3" t="s">
        <v>552</v>
      </c>
    </row>
    <row r="4" spans="1:19" x14ac:dyDescent="0.35">
      <c r="A4" t="s">
        <v>11</v>
      </c>
      <c r="B4" t="s">
        <v>12</v>
      </c>
      <c r="C4" t="s">
        <v>13</v>
      </c>
      <c r="D4" t="s">
        <v>14</v>
      </c>
      <c r="E4" t="s">
        <v>15</v>
      </c>
      <c r="F4">
        <v>3249</v>
      </c>
      <c r="G4">
        <v>3071</v>
      </c>
      <c r="H4" s="9">
        <v>46383</v>
      </c>
      <c r="I4" s="9">
        <v>46392</v>
      </c>
      <c r="J4">
        <v>369</v>
      </c>
      <c r="K4">
        <v>151</v>
      </c>
      <c r="L4">
        <v>9</v>
      </c>
      <c r="M4">
        <v>0</v>
      </c>
      <c r="N4">
        <v>0.94521391197291471</v>
      </c>
      <c r="O4">
        <v>0.87984369912080751</v>
      </c>
      <c r="P4">
        <v>463721</v>
      </c>
      <c r="Q4">
        <v>3.3112582781456956E-2</v>
      </c>
      <c r="R4">
        <v>1</v>
      </c>
      <c r="S4">
        <v>0.45630715040897091</v>
      </c>
    </row>
    <row r="5" spans="1:19" x14ac:dyDescent="0.35">
      <c r="A5" t="s">
        <v>544</v>
      </c>
      <c r="B5" t="s">
        <v>12</v>
      </c>
      <c r="C5" t="s">
        <v>13</v>
      </c>
      <c r="D5" t="s">
        <v>33</v>
      </c>
      <c r="E5" t="s">
        <v>63</v>
      </c>
      <c r="F5">
        <v>3448</v>
      </c>
      <c r="G5">
        <v>3431</v>
      </c>
      <c r="H5" s="9">
        <v>46070</v>
      </c>
      <c r="I5" s="9">
        <v>46068</v>
      </c>
      <c r="J5">
        <v>416</v>
      </c>
      <c r="K5">
        <v>28</v>
      </c>
      <c r="L5">
        <v>-2</v>
      </c>
      <c r="M5">
        <v>1</v>
      </c>
      <c r="N5">
        <v>0.99506960556844548</v>
      </c>
      <c r="O5">
        <v>0.87875255027688726</v>
      </c>
      <c r="P5">
        <v>96068</v>
      </c>
      <c r="Q5">
        <v>0.17857142857142858</v>
      </c>
      <c r="R5">
        <v>0</v>
      </c>
      <c r="S5">
        <v>0.88049682905389814</v>
      </c>
    </row>
    <row r="6" spans="1:19" x14ac:dyDescent="0.35">
      <c r="A6" t="s">
        <v>516</v>
      </c>
      <c r="B6" t="s">
        <v>12</v>
      </c>
      <c r="C6" t="s">
        <v>13</v>
      </c>
      <c r="D6" t="s">
        <v>33</v>
      </c>
      <c r="E6" t="s">
        <v>24</v>
      </c>
      <c r="F6">
        <v>2364</v>
      </c>
      <c r="G6">
        <v>2179</v>
      </c>
      <c r="H6" s="9">
        <v>46155</v>
      </c>
      <c r="I6" s="9">
        <v>46164</v>
      </c>
      <c r="J6">
        <v>266</v>
      </c>
      <c r="K6">
        <v>63</v>
      </c>
      <c r="L6">
        <v>9</v>
      </c>
      <c r="M6">
        <v>0</v>
      </c>
      <c r="N6">
        <v>0.92174280879864634</v>
      </c>
      <c r="O6">
        <v>0.8779256539697109</v>
      </c>
      <c r="P6">
        <v>137277</v>
      </c>
      <c r="Q6">
        <v>7.9365079365079361E-2</v>
      </c>
      <c r="R6">
        <v>1</v>
      </c>
      <c r="S6">
        <v>0.45566276588715049</v>
      </c>
    </row>
    <row r="7" spans="1:19" x14ac:dyDescent="0.35">
      <c r="A7" t="s">
        <v>513</v>
      </c>
      <c r="B7" t="s">
        <v>12</v>
      </c>
      <c r="C7" t="s">
        <v>13</v>
      </c>
      <c r="D7" t="s">
        <v>19</v>
      </c>
      <c r="E7" t="s">
        <v>34</v>
      </c>
      <c r="F7">
        <v>4814</v>
      </c>
      <c r="G7">
        <v>4713</v>
      </c>
      <c r="H7" s="9">
        <v>46199</v>
      </c>
      <c r="I7" s="9">
        <v>46197</v>
      </c>
      <c r="J7">
        <v>570</v>
      </c>
      <c r="K7">
        <v>81</v>
      </c>
      <c r="L7">
        <v>-2</v>
      </c>
      <c r="M7">
        <v>1</v>
      </c>
      <c r="N7">
        <v>0.97901952638138767</v>
      </c>
      <c r="O7">
        <v>0.87905792488860601</v>
      </c>
      <c r="P7">
        <v>381753</v>
      </c>
      <c r="Q7">
        <v>6.1728395061728392E-2</v>
      </c>
      <c r="R7">
        <v>0</v>
      </c>
      <c r="S7">
        <v>0.86569412224903231</v>
      </c>
    </row>
    <row r="8" spans="1:19" x14ac:dyDescent="0.35">
      <c r="A8" t="s">
        <v>509</v>
      </c>
      <c r="B8" t="s">
        <v>12</v>
      </c>
      <c r="C8" t="s">
        <v>13</v>
      </c>
      <c r="D8" t="s">
        <v>55</v>
      </c>
      <c r="E8" t="s">
        <v>70</v>
      </c>
      <c r="F8">
        <v>2032</v>
      </c>
      <c r="G8">
        <v>1873</v>
      </c>
      <c r="H8" s="9">
        <v>46035</v>
      </c>
      <c r="I8" s="9">
        <v>46036</v>
      </c>
      <c r="J8">
        <v>226</v>
      </c>
      <c r="K8">
        <v>141</v>
      </c>
      <c r="L8">
        <v>1</v>
      </c>
      <c r="M8">
        <v>0</v>
      </c>
      <c r="N8">
        <v>0.92175196850393704</v>
      </c>
      <c r="O8">
        <v>0.87933796049119062</v>
      </c>
      <c r="P8">
        <v>264093</v>
      </c>
      <c r="Q8">
        <v>3.5460992907801421E-2</v>
      </c>
      <c r="R8">
        <v>1</v>
      </c>
      <c r="S8">
        <v>0.45169788113892473</v>
      </c>
    </row>
    <row r="9" spans="1:19" x14ac:dyDescent="0.35">
      <c r="A9" t="s">
        <v>505</v>
      </c>
      <c r="B9" t="s">
        <v>12</v>
      </c>
      <c r="C9" t="s">
        <v>13</v>
      </c>
      <c r="D9" t="s">
        <v>14</v>
      </c>
      <c r="E9" t="s">
        <v>15</v>
      </c>
      <c r="F9">
        <v>3857</v>
      </c>
      <c r="G9">
        <v>3769</v>
      </c>
      <c r="H9" s="9">
        <v>46370</v>
      </c>
      <c r="I9" s="9">
        <v>46373</v>
      </c>
      <c r="J9">
        <v>457</v>
      </c>
      <c r="K9">
        <v>168</v>
      </c>
      <c r="L9">
        <v>3</v>
      </c>
      <c r="M9">
        <v>0</v>
      </c>
      <c r="N9">
        <v>0.97718434016074673</v>
      </c>
      <c r="O9">
        <v>0.87874767842929158</v>
      </c>
      <c r="P9">
        <v>633192</v>
      </c>
      <c r="Q9">
        <v>2.976190476190476E-2</v>
      </c>
      <c r="R9">
        <v>1</v>
      </c>
      <c r="S9">
        <v>0.46203736203712731</v>
      </c>
    </row>
    <row r="10" spans="1:19" x14ac:dyDescent="0.35">
      <c r="A10" t="s">
        <v>495</v>
      </c>
      <c r="B10" t="s">
        <v>12</v>
      </c>
      <c r="C10" t="s">
        <v>13</v>
      </c>
      <c r="D10" t="s">
        <v>14</v>
      </c>
      <c r="E10" t="s">
        <v>52</v>
      </c>
      <c r="F10">
        <v>3346</v>
      </c>
      <c r="G10">
        <v>3121</v>
      </c>
      <c r="H10" s="9">
        <v>46107</v>
      </c>
      <c r="I10" s="9">
        <v>46114</v>
      </c>
      <c r="J10">
        <v>376</v>
      </c>
      <c r="K10">
        <v>142</v>
      </c>
      <c r="L10">
        <v>7</v>
      </c>
      <c r="M10">
        <v>0</v>
      </c>
      <c r="N10">
        <v>0.9327555289898386</v>
      </c>
      <c r="O10">
        <v>0.87952579301505929</v>
      </c>
      <c r="P10">
        <v>443182</v>
      </c>
      <c r="Q10">
        <v>3.5211267605633804E-2</v>
      </c>
      <c r="R10">
        <v>1</v>
      </c>
      <c r="S10">
        <v>0.45392997046304889</v>
      </c>
    </row>
    <row r="11" spans="1:19" x14ac:dyDescent="0.35">
      <c r="A11" t="s">
        <v>490</v>
      </c>
      <c r="B11" t="s">
        <v>12</v>
      </c>
      <c r="C11" t="s">
        <v>13</v>
      </c>
      <c r="D11" t="s">
        <v>33</v>
      </c>
      <c r="E11" t="s">
        <v>57</v>
      </c>
      <c r="F11">
        <v>648</v>
      </c>
      <c r="G11">
        <v>648</v>
      </c>
      <c r="H11" s="9">
        <v>46319</v>
      </c>
      <c r="I11" s="9">
        <v>46329</v>
      </c>
      <c r="J11">
        <v>78</v>
      </c>
      <c r="K11">
        <v>140</v>
      </c>
      <c r="L11">
        <v>10</v>
      </c>
      <c r="M11">
        <v>0</v>
      </c>
      <c r="N11">
        <v>1</v>
      </c>
      <c r="O11">
        <v>0.87962962962962965</v>
      </c>
      <c r="P11">
        <v>90720</v>
      </c>
      <c r="Q11">
        <v>3.5714285714285712E-2</v>
      </c>
      <c r="R11">
        <v>1</v>
      </c>
      <c r="S11">
        <v>0.46746031746031746</v>
      </c>
    </row>
    <row r="12" spans="1:19" x14ac:dyDescent="0.35">
      <c r="A12" t="s">
        <v>475</v>
      </c>
      <c r="B12" t="s">
        <v>12</v>
      </c>
      <c r="C12" t="s">
        <v>13</v>
      </c>
      <c r="D12" t="s">
        <v>33</v>
      </c>
      <c r="E12" t="s">
        <v>34</v>
      </c>
      <c r="F12">
        <v>4927</v>
      </c>
      <c r="G12">
        <v>4763</v>
      </c>
      <c r="H12" s="9">
        <v>46184</v>
      </c>
      <c r="I12" s="9">
        <v>46184</v>
      </c>
      <c r="J12">
        <v>572</v>
      </c>
      <c r="K12">
        <v>230</v>
      </c>
      <c r="L12">
        <v>0</v>
      </c>
      <c r="M12">
        <v>1</v>
      </c>
      <c r="N12">
        <v>0.96671402476151813</v>
      </c>
      <c r="O12">
        <v>0.87990762124711319</v>
      </c>
      <c r="P12">
        <v>1095490</v>
      </c>
      <c r="Q12">
        <v>2.1739130434782608E-2</v>
      </c>
      <c r="R12">
        <v>0</v>
      </c>
      <c r="S12">
        <v>0.85948900436991582</v>
      </c>
    </row>
    <row r="13" spans="1:19" x14ac:dyDescent="0.35">
      <c r="A13" t="s">
        <v>473</v>
      </c>
      <c r="B13" t="s">
        <v>12</v>
      </c>
      <c r="C13" t="s">
        <v>13</v>
      </c>
      <c r="D13" t="s">
        <v>19</v>
      </c>
      <c r="E13" t="s">
        <v>63</v>
      </c>
      <c r="F13">
        <v>3409</v>
      </c>
      <c r="G13">
        <v>3312</v>
      </c>
      <c r="H13" s="9">
        <v>46056</v>
      </c>
      <c r="I13" s="9">
        <v>46054</v>
      </c>
      <c r="J13">
        <v>401</v>
      </c>
      <c r="K13">
        <v>46</v>
      </c>
      <c r="L13">
        <v>-2</v>
      </c>
      <c r="M13">
        <v>1</v>
      </c>
      <c r="N13">
        <v>0.97154590789087714</v>
      </c>
      <c r="O13">
        <v>0.87892512077294682</v>
      </c>
      <c r="P13">
        <v>152352</v>
      </c>
      <c r="Q13">
        <v>0.10869565217391304</v>
      </c>
      <c r="R13">
        <v>0</v>
      </c>
      <c r="S13">
        <v>0.86885628302745088</v>
      </c>
    </row>
    <row r="14" spans="1:19" x14ac:dyDescent="0.35">
      <c r="A14" t="s">
        <v>463</v>
      </c>
      <c r="B14" t="s">
        <v>12</v>
      </c>
      <c r="C14" t="s">
        <v>13</v>
      </c>
      <c r="D14" t="s">
        <v>33</v>
      </c>
      <c r="E14" t="s">
        <v>24</v>
      </c>
      <c r="F14">
        <v>1193</v>
      </c>
      <c r="G14">
        <v>1130</v>
      </c>
      <c r="H14" s="9">
        <v>46145</v>
      </c>
      <c r="I14" s="9">
        <v>46145</v>
      </c>
      <c r="J14">
        <v>140</v>
      </c>
      <c r="K14">
        <v>71</v>
      </c>
      <c r="L14">
        <v>0</v>
      </c>
      <c r="M14">
        <v>1</v>
      </c>
      <c r="N14">
        <v>0.94719195305951387</v>
      </c>
      <c r="O14">
        <v>0.87610619469026552</v>
      </c>
      <c r="P14">
        <v>80230</v>
      </c>
      <c r="Q14">
        <v>7.0422535211267609E-2</v>
      </c>
      <c r="R14">
        <v>0</v>
      </c>
      <c r="S14">
        <v>0.85931250254010916</v>
      </c>
    </row>
    <row r="15" spans="1:19" x14ac:dyDescent="0.35">
      <c r="A15" t="s">
        <v>450</v>
      </c>
      <c r="B15" t="s">
        <v>12</v>
      </c>
      <c r="C15" t="s">
        <v>13</v>
      </c>
      <c r="D15" t="s">
        <v>55</v>
      </c>
      <c r="E15" t="s">
        <v>52</v>
      </c>
      <c r="F15">
        <v>1163</v>
      </c>
      <c r="G15">
        <v>1097</v>
      </c>
      <c r="H15" s="9">
        <v>46095</v>
      </c>
      <c r="I15" s="9">
        <v>46095</v>
      </c>
      <c r="J15">
        <v>137</v>
      </c>
      <c r="K15">
        <v>149</v>
      </c>
      <c r="L15">
        <v>0</v>
      </c>
      <c r="M15">
        <v>1</v>
      </c>
      <c r="N15">
        <v>0.94325021496130701</v>
      </c>
      <c r="O15">
        <v>0.87511394712853241</v>
      </c>
      <c r="P15">
        <v>163453</v>
      </c>
      <c r="Q15">
        <v>3.3557046979865772E-2</v>
      </c>
      <c r="R15">
        <v>0</v>
      </c>
      <c r="S15">
        <v>0.85453993182880772</v>
      </c>
    </row>
    <row r="16" spans="1:19" x14ac:dyDescent="0.35">
      <c r="A16" t="s">
        <v>448</v>
      </c>
      <c r="B16" t="s">
        <v>12</v>
      </c>
      <c r="C16" t="s">
        <v>13</v>
      </c>
      <c r="D16" t="s">
        <v>33</v>
      </c>
      <c r="E16" t="s">
        <v>40</v>
      </c>
      <c r="F16">
        <v>469</v>
      </c>
      <c r="G16">
        <v>460</v>
      </c>
      <c r="H16" s="9">
        <v>46256</v>
      </c>
      <c r="I16" s="9">
        <v>46255</v>
      </c>
      <c r="J16">
        <v>57</v>
      </c>
      <c r="K16">
        <v>171</v>
      </c>
      <c r="L16">
        <v>-1</v>
      </c>
      <c r="M16">
        <v>1</v>
      </c>
      <c r="N16">
        <v>0.98081023454157779</v>
      </c>
      <c r="O16">
        <v>0.87608695652173918</v>
      </c>
      <c r="P16">
        <v>78660</v>
      </c>
      <c r="Q16">
        <v>2.9239766081871343E-2</v>
      </c>
      <c r="R16">
        <v>0</v>
      </c>
      <c r="S16">
        <v>0.86191211047302441</v>
      </c>
    </row>
    <row r="17" spans="1:19" x14ac:dyDescent="0.35">
      <c r="A17" t="s">
        <v>440</v>
      </c>
      <c r="B17" t="s">
        <v>12</v>
      </c>
      <c r="C17" t="s">
        <v>13</v>
      </c>
      <c r="D17" t="s">
        <v>55</v>
      </c>
      <c r="E17" t="s">
        <v>15</v>
      </c>
      <c r="F17">
        <v>3353</v>
      </c>
      <c r="G17">
        <v>3329</v>
      </c>
      <c r="H17" s="9">
        <v>46377</v>
      </c>
      <c r="I17" s="9">
        <v>46386</v>
      </c>
      <c r="J17">
        <v>401</v>
      </c>
      <c r="K17">
        <v>240</v>
      </c>
      <c r="L17">
        <v>9</v>
      </c>
      <c r="M17">
        <v>0</v>
      </c>
      <c r="N17">
        <v>0.99284223083805545</v>
      </c>
      <c r="O17">
        <v>0.87954340642835682</v>
      </c>
      <c r="P17">
        <v>798960</v>
      </c>
      <c r="Q17">
        <v>2.0833333333333332E-2</v>
      </c>
      <c r="R17">
        <v>1</v>
      </c>
      <c r="S17">
        <v>0.46451480142945145</v>
      </c>
    </row>
    <row r="18" spans="1:19" x14ac:dyDescent="0.35">
      <c r="A18" t="s">
        <v>419</v>
      </c>
      <c r="B18" t="s">
        <v>12</v>
      </c>
      <c r="C18" t="s">
        <v>13</v>
      </c>
      <c r="D18" t="s">
        <v>14</v>
      </c>
      <c r="E18" t="s">
        <v>20</v>
      </c>
      <c r="F18">
        <v>3946</v>
      </c>
      <c r="G18">
        <v>3728</v>
      </c>
      <c r="H18" s="9">
        <v>46230</v>
      </c>
      <c r="I18" s="9">
        <v>46230</v>
      </c>
      <c r="J18">
        <v>453</v>
      </c>
      <c r="K18">
        <v>171</v>
      </c>
      <c r="L18">
        <v>0</v>
      </c>
      <c r="M18">
        <v>1</v>
      </c>
      <c r="N18">
        <v>0.94475418144956913</v>
      </c>
      <c r="O18">
        <v>0.87848712446351929</v>
      </c>
      <c r="P18">
        <v>637488</v>
      </c>
      <c r="Q18">
        <v>2.9239766081871343E-2</v>
      </c>
      <c r="R18">
        <v>0</v>
      </c>
      <c r="S18">
        <v>0.85542095023715681</v>
      </c>
    </row>
    <row r="19" spans="1:19" x14ac:dyDescent="0.35">
      <c r="A19" t="s">
        <v>411</v>
      </c>
      <c r="B19" t="s">
        <v>12</v>
      </c>
      <c r="C19" t="s">
        <v>13</v>
      </c>
      <c r="D19" t="s">
        <v>33</v>
      </c>
      <c r="E19" t="s">
        <v>20</v>
      </c>
      <c r="F19">
        <v>3945</v>
      </c>
      <c r="G19">
        <v>3661</v>
      </c>
      <c r="H19" s="9">
        <v>46209</v>
      </c>
      <c r="I19" s="9">
        <v>46208</v>
      </c>
      <c r="J19">
        <v>445</v>
      </c>
      <c r="K19">
        <v>59</v>
      </c>
      <c r="L19">
        <v>-1</v>
      </c>
      <c r="M19">
        <v>1</v>
      </c>
      <c r="N19">
        <v>0.92801013941698351</v>
      </c>
      <c r="O19">
        <v>0.87844851133570068</v>
      </c>
      <c r="P19">
        <v>215999</v>
      </c>
      <c r="Q19">
        <v>8.4745762711864403E-2</v>
      </c>
      <c r="R19">
        <v>0</v>
      </c>
      <c r="S19">
        <v>0.85761115755529338</v>
      </c>
    </row>
    <row r="20" spans="1:19" x14ac:dyDescent="0.35">
      <c r="A20" t="s">
        <v>408</v>
      </c>
      <c r="B20" t="s">
        <v>12</v>
      </c>
      <c r="C20" t="s">
        <v>13</v>
      </c>
      <c r="D20" t="s">
        <v>33</v>
      </c>
      <c r="E20" t="s">
        <v>52</v>
      </c>
      <c r="F20">
        <v>1527</v>
      </c>
      <c r="G20">
        <v>1525</v>
      </c>
      <c r="H20" s="9">
        <v>46107</v>
      </c>
      <c r="I20" s="9">
        <v>46108</v>
      </c>
      <c r="J20">
        <v>186</v>
      </c>
      <c r="K20">
        <v>77</v>
      </c>
      <c r="L20">
        <v>1</v>
      </c>
      <c r="M20">
        <v>0</v>
      </c>
      <c r="N20">
        <v>0.99869024230517356</v>
      </c>
      <c r="O20">
        <v>0.87803278688524589</v>
      </c>
      <c r="P20">
        <v>117425</v>
      </c>
      <c r="Q20">
        <v>6.4935064935064929E-2</v>
      </c>
      <c r="R20">
        <v>1</v>
      </c>
      <c r="S20">
        <v>0.46964139102011498</v>
      </c>
    </row>
    <row r="21" spans="1:19" x14ac:dyDescent="0.35">
      <c r="A21" t="s">
        <v>389</v>
      </c>
      <c r="B21" t="s">
        <v>12</v>
      </c>
      <c r="C21" t="s">
        <v>13</v>
      </c>
      <c r="D21" t="s">
        <v>33</v>
      </c>
      <c r="E21" t="s">
        <v>15</v>
      </c>
      <c r="F21">
        <v>2362</v>
      </c>
      <c r="G21">
        <v>2220</v>
      </c>
      <c r="H21" s="9">
        <v>46361</v>
      </c>
      <c r="I21" s="9">
        <v>46361</v>
      </c>
      <c r="J21">
        <v>269</v>
      </c>
      <c r="K21">
        <v>170</v>
      </c>
      <c r="L21">
        <v>0</v>
      </c>
      <c r="M21">
        <v>1</v>
      </c>
      <c r="N21">
        <v>0.93988145639288734</v>
      </c>
      <c r="O21">
        <v>0.87882882882882885</v>
      </c>
      <c r="P21">
        <v>377400</v>
      </c>
      <c r="Q21">
        <v>2.9411764705882353E-2</v>
      </c>
      <c r="R21">
        <v>0</v>
      </c>
      <c r="S21">
        <v>0.85456611639781432</v>
      </c>
    </row>
    <row r="22" spans="1:19" x14ac:dyDescent="0.35">
      <c r="A22" t="s">
        <v>388</v>
      </c>
      <c r="B22" t="s">
        <v>12</v>
      </c>
      <c r="C22" t="s">
        <v>13</v>
      </c>
      <c r="D22" t="s">
        <v>55</v>
      </c>
      <c r="E22" t="s">
        <v>24</v>
      </c>
      <c r="F22">
        <v>665</v>
      </c>
      <c r="G22">
        <v>665</v>
      </c>
      <c r="H22" s="9">
        <v>46145</v>
      </c>
      <c r="I22" s="9">
        <v>46145</v>
      </c>
      <c r="J22">
        <v>82</v>
      </c>
      <c r="K22">
        <v>106</v>
      </c>
      <c r="L22">
        <v>0</v>
      </c>
      <c r="M22">
        <v>1</v>
      </c>
      <c r="N22">
        <v>1</v>
      </c>
      <c r="O22">
        <v>0.8766917293233083</v>
      </c>
      <c r="P22">
        <v>70490</v>
      </c>
      <c r="Q22">
        <v>4.716981132075472E-2</v>
      </c>
      <c r="R22">
        <v>0</v>
      </c>
      <c r="S22">
        <v>0.86772449992906808</v>
      </c>
    </row>
    <row r="23" spans="1:19" x14ac:dyDescent="0.35">
      <c r="A23" t="s">
        <v>383</v>
      </c>
      <c r="B23" t="s">
        <v>12</v>
      </c>
      <c r="C23" t="s">
        <v>13</v>
      </c>
      <c r="D23" t="s">
        <v>19</v>
      </c>
      <c r="E23" t="s">
        <v>57</v>
      </c>
      <c r="F23">
        <v>3925</v>
      </c>
      <c r="G23">
        <v>3691</v>
      </c>
      <c r="H23" s="9">
        <v>46302</v>
      </c>
      <c r="I23" s="9">
        <v>46302</v>
      </c>
      <c r="J23">
        <v>443</v>
      </c>
      <c r="K23">
        <v>153</v>
      </c>
      <c r="L23">
        <v>0</v>
      </c>
      <c r="M23">
        <v>1</v>
      </c>
      <c r="N23">
        <v>0.94038216560509558</v>
      </c>
      <c r="O23">
        <v>0.87997832565700351</v>
      </c>
      <c r="P23">
        <v>564723</v>
      </c>
      <c r="Q23">
        <v>3.2679738562091505E-2</v>
      </c>
      <c r="R23">
        <v>0</v>
      </c>
      <c r="S23">
        <v>0.85533790467432946</v>
      </c>
    </row>
    <row r="24" spans="1:19" x14ac:dyDescent="0.35">
      <c r="A24" t="s">
        <v>382</v>
      </c>
      <c r="B24" t="s">
        <v>12</v>
      </c>
      <c r="C24" t="s">
        <v>13</v>
      </c>
      <c r="D24" t="s">
        <v>14</v>
      </c>
      <c r="E24" t="s">
        <v>24</v>
      </c>
      <c r="F24">
        <v>2480</v>
      </c>
      <c r="G24">
        <v>2383</v>
      </c>
      <c r="H24" s="9">
        <v>46148</v>
      </c>
      <c r="I24" s="9">
        <v>46146</v>
      </c>
      <c r="J24">
        <v>291</v>
      </c>
      <c r="K24">
        <v>23</v>
      </c>
      <c r="L24">
        <v>-2</v>
      </c>
      <c r="M24">
        <v>1</v>
      </c>
      <c r="N24">
        <v>0.96088709677419359</v>
      </c>
      <c r="O24">
        <v>0.87788501888375992</v>
      </c>
      <c r="P24">
        <v>54809</v>
      </c>
      <c r="Q24">
        <v>0.21739130434782608</v>
      </c>
      <c r="R24">
        <v>0</v>
      </c>
      <c r="S24">
        <v>0.87728205545474924</v>
      </c>
    </row>
    <row r="25" spans="1:19" x14ac:dyDescent="0.35">
      <c r="A25" t="s">
        <v>375</v>
      </c>
      <c r="B25" t="s">
        <v>12</v>
      </c>
      <c r="C25" t="s">
        <v>13</v>
      </c>
      <c r="D25" t="s">
        <v>19</v>
      </c>
      <c r="E25" t="s">
        <v>52</v>
      </c>
      <c r="F25">
        <v>1833</v>
      </c>
      <c r="G25">
        <v>1821</v>
      </c>
      <c r="H25" s="9">
        <v>46097</v>
      </c>
      <c r="I25" s="9">
        <v>46096</v>
      </c>
      <c r="J25">
        <v>219</v>
      </c>
      <c r="K25">
        <v>131</v>
      </c>
      <c r="L25">
        <v>-1</v>
      </c>
      <c r="M25">
        <v>1</v>
      </c>
      <c r="N25">
        <v>0.99345335515548283</v>
      </c>
      <c r="O25">
        <v>0.87973640856672153</v>
      </c>
      <c r="P25">
        <v>238551</v>
      </c>
      <c r="Q25">
        <v>3.8167938931297711E-2</v>
      </c>
      <c r="R25">
        <v>0</v>
      </c>
      <c r="S25">
        <v>0.86642838749424278</v>
      </c>
    </row>
    <row r="26" spans="1:19" x14ac:dyDescent="0.35">
      <c r="A26" t="s">
        <v>65</v>
      </c>
      <c r="B26" t="s">
        <v>12</v>
      </c>
      <c r="C26" t="s">
        <v>13</v>
      </c>
      <c r="D26" t="s">
        <v>19</v>
      </c>
      <c r="E26" t="s">
        <v>20</v>
      </c>
      <c r="F26">
        <v>1221</v>
      </c>
      <c r="G26">
        <v>1192</v>
      </c>
      <c r="H26" s="9">
        <v>46206</v>
      </c>
      <c r="I26" s="9">
        <v>46208</v>
      </c>
      <c r="J26">
        <v>144</v>
      </c>
      <c r="K26">
        <v>15</v>
      </c>
      <c r="L26">
        <v>2</v>
      </c>
      <c r="M26">
        <v>0</v>
      </c>
      <c r="N26">
        <v>0.97624897624897622</v>
      </c>
      <c r="O26">
        <v>0.87919463087248317</v>
      </c>
      <c r="P26">
        <v>17880</v>
      </c>
      <c r="Q26">
        <v>0.33333333333333331</v>
      </c>
      <c r="R26">
        <v>1</v>
      </c>
      <c r="S26">
        <v>0.49234151784487351</v>
      </c>
    </row>
    <row r="27" spans="1:19" x14ac:dyDescent="0.35">
      <c r="A27" t="s">
        <v>371</v>
      </c>
      <c r="B27" t="s">
        <v>12</v>
      </c>
      <c r="C27" t="s">
        <v>13</v>
      </c>
      <c r="D27" t="s">
        <v>14</v>
      </c>
      <c r="E27" t="s">
        <v>57</v>
      </c>
      <c r="F27">
        <v>4064</v>
      </c>
      <c r="G27">
        <v>4060</v>
      </c>
      <c r="H27" s="9">
        <v>46320</v>
      </c>
      <c r="I27" s="9">
        <v>46320</v>
      </c>
      <c r="J27">
        <v>488</v>
      </c>
      <c r="K27">
        <v>66</v>
      </c>
      <c r="L27">
        <v>0</v>
      </c>
      <c r="M27">
        <v>1</v>
      </c>
      <c r="N27">
        <v>0.99901574803149606</v>
      </c>
      <c r="O27">
        <v>0.87980295566502464</v>
      </c>
      <c r="P27">
        <v>267960</v>
      </c>
      <c r="Q27">
        <v>7.575757575757576E-2</v>
      </c>
      <c r="R27">
        <v>0</v>
      </c>
      <c r="S27">
        <v>0.87131979388156411</v>
      </c>
    </row>
    <row r="28" spans="1:19" x14ac:dyDescent="0.35">
      <c r="A28" t="s">
        <v>367</v>
      </c>
      <c r="B28" t="s">
        <v>12</v>
      </c>
      <c r="C28" t="s">
        <v>13</v>
      </c>
      <c r="D28" t="s">
        <v>19</v>
      </c>
      <c r="E28" t="s">
        <v>40</v>
      </c>
      <c r="F28">
        <v>4290</v>
      </c>
      <c r="G28">
        <v>4112</v>
      </c>
      <c r="H28" s="9">
        <v>46259</v>
      </c>
      <c r="I28" s="9">
        <v>46259</v>
      </c>
      <c r="J28">
        <v>494</v>
      </c>
      <c r="K28">
        <v>12</v>
      </c>
      <c r="L28">
        <v>0</v>
      </c>
      <c r="M28">
        <v>1</v>
      </c>
      <c r="N28">
        <v>0.95850815850815851</v>
      </c>
      <c r="O28">
        <v>0.87986381322957197</v>
      </c>
      <c r="P28">
        <v>49344</v>
      </c>
      <c r="Q28">
        <v>0.41666666666666669</v>
      </c>
      <c r="R28">
        <v>0</v>
      </c>
      <c r="S28">
        <v>0.89732744233716999</v>
      </c>
    </row>
    <row r="29" spans="1:19" x14ac:dyDescent="0.35">
      <c r="A29" t="s">
        <v>336</v>
      </c>
      <c r="B29" t="s">
        <v>12</v>
      </c>
      <c r="C29" t="s">
        <v>13</v>
      </c>
      <c r="D29" t="s">
        <v>19</v>
      </c>
      <c r="E29" t="s">
        <v>15</v>
      </c>
      <c r="F29">
        <v>1516</v>
      </c>
      <c r="G29">
        <v>1403</v>
      </c>
      <c r="H29" s="9">
        <v>46381</v>
      </c>
      <c r="I29" s="9">
        <v>46380</v>
      </c>
      <c r="J29">
        <v>172</v>
      </c>
      <c r="K29">
        <v>11</v>
      </c>
      <c r="L29">
        <v>-1</v>
      </c>
      <c r="M29">
        <v>1</v>
      </c>
      <c r="N29">
        <v>0.92546174142480209</v>
      </c>
      <c r="O29">
        <v>0.87740555951532428</v>
      </c>
      <c r="P29">
        <v>15433</v>
      </c>
      <c r="Q29">
        <v>0.45454545454545453</v>
      </c>
      <c r="R29">
        <v>0</v>
      </c>
      <c r="S29">
        <v>0.89376856159410312</v>
      </c>
    </row>
    <row r="30" spans="1:19" x14ac:dyDescent="0.35">
      <c r="A30" t="s">
        <v>330</v>
      </c>
      <c r="B30" t="s">
        <v>12</v>
      </c>
      <c r="C30" t="s">
        <v>13</v>
      </c>
      <c r="D30" t="s">
        <v>33</v>
      </c>
      <c r="E30" t="s">
        <v>24</v>
      </c>
      <c r="F30">
        <v>4379</v>
      </c>
      <c r="G30">
        <v>4110</v>
      </c>
      <c r="H30" s="9">
        <v>46158</v>
      </c>
      <c r="I30" s="9">
        <v>46158</v>
      </c>
      <c r="J30">
        <v>498</v>
      </c>
      <c r="K30">
        <v>235</v>
      </c>
      <c r="L30">
        <v>0</v>
      </c>
      <c r="M30">
        <v>1</v>
      </c>
      <c r="N30">
        <v>0.93857044987440053</v>
      </c>
      <c r="O30">
        <v>0.87883211678832118</v>
      </c>
      <c r="P30">
        <v>965850</v>
      </c>
      <c r="Q30">
        <v>2.1276595744680851E-2</v>
      </c>
      <c r="R30">
        <v>0</v>
      </c>
      <c r="S30">
        <v>0.85349138458584461</v>
      </c>
    </row>
    <row r="31" spans="1:19" x14ac:dyDescent="0.35">
      <c r="A31" t="s">
        <v>324</v>
      </c>
      <c r="B31" t="s">
        <v>12</v>
      </c>
      <c r="C31" t="s">
        <v>13</v>
      </c>
      <c r="D31" t="s">
        <v>33</v>
      </c>
      <c r="E31" t="s">
        <v>15</v>
      </c>
      <c r="F31">
        <v>1280</v>
      </c>
      <c r="G31">
        <v>1250</v>
      </c>
      <c r="H31" s="9">
        <v>46357</v>
      </c>
      <c r="I31" s="9">
        <v>46359</v>
      </c>
      <c r="J31">
        <v>151</v>
      </c>
      <c r="K31">
        <v>69</v>
      </c>
      <c r="L31">
        <v>2</v>
      </c>
      <c r="M31">
        <v>0</v>
      </c>
      <c r="N31">
        <v>0.9765625</v>
      </c>
      <c r="O31">
        <v>0.87919999999999998</v>
      </c>
      <c r="P31">
        <v>86250</v>
      </c>
      <c r="Q31">
        <v>7.2463768115942032E-2</v>
      </c>
      <c r="R31">
        <v>1</v>
      </c>
      <c r="S31">
        <v>0.46631887681159417</v>
      </c>
    </row>
    <row r="32" spans="1:19" x14ac:dyDescent="0.35">
      <c r="A32" t="s">
        <v>323</v>
      </c>
      <c r="B32" t="s">
        <v>12</v>
      </c>
      <c r="C32" t="s">
        <v>13</v>
      </c>
      <c r="D32" t="s">
        <v>33</v>
      </c>
      <c r="E32" t="s">
        <v>15</v>
      </c>
      <c r="F32">
        <v>3958</v>
      </c>
      <c r="G32">
        <v>3886</v>
      </c>
      <c r="H32" s="9">
        <v>46385</v>
      </c>
      <c r="I32" s="9">
        <v>46394</v>
      </c>
      <c r="J32">
        <v>468</v>
      </c>
      <c r="K32">
        <v>174</v>
      </c>
      <c r="L32">
        <v>9</v>
      </c>
      <c r="M32">
        <v>0</v>
      </c>
      <c r="N32">
        <v>0.98180899444163716</v>
      </c>
      <c r="O32">
        <v>0.8795676788471436</v>
      </c>
      <c r="P32">
        <v>676164</v>
      </c>
      <c r="Q32">
        <v>2.8735632183908046E-2</v>
      </c>
      <c r="R32">
        <v>1</v>
      </c>
      <c r="S32">
        <v>0.46310566576086132</v>
      </c>
    </row>
    <row r="33" spans="1:19" x14ac:dyDescent="0.35">
      <c r="A33" t="s">
        <v>302</v>
      </c>
      <c r="B33" t="s">
        <v>12</v>
      </c>
      <c r="C33" t="s">
        <v>13</v>
      </c>
      <c r="D33" t="s">
        <v>14</v>
      </c>
      <c r="E33" t="s">
        <v>52</v>
      </c>
      <c r="F33">
        <v>469</v>
      </c>
      <c r="G33">
        <v>454</v>
      </c>
      <c r="H33" s="9">
        <v>46112</v>
      </c>
      <c r="I33" s="9">
        <v>46111</v>
      </c>
      <c r="J33">
        <v>57</v>
      </c>
      <c r="K33">
        <v>83</v>
      </c>
      <c r="L33">
        <v>-1</v>
      </c>
      <c r="M33">
        <v>1</v>
      </c>
      <c r="N33">
        <v>0.96801705756929635</v>
      </c>
      <c r="O33">
        <v>0.87444933920704848</v>
      </c>
      <c r="P33">
        <v>37682</v>
      </c>
      <c r="Q33">
        <v>6.0240963855421686E-2</v>
      </c>
      <c r="R33">
        <v>0</v>
      </c>
      <c r="S33">
        <v>0.86196230966151599</v>
      </c>
    </row>
    <row r="34" spans="1:19" x14ac:dyDescent="0.35">
      <c r="A34" t="s">
        <v>273</v>
      </c>
      <c r="B34" t="s">
        <v>12</v>
      </c>
      <c r="C34" t="s">
        <v>13</v>
      </c>
      <c r="D34" t="s">
        <v>14</v>
      </c>
      <c r="E34" t="s">
        <v>24</v>
      </c>
      <c r="F34">
        <v>4663</v>
      </c>
      <c r="G34">
        <v>4290</v>
      </c>
      <c r="H34" s="9">
        <v>46173</v>
      </c>
      <c r="I34" s="9">
        <v>46179</v>
      </c>
      <c r="J34">
        <v>516</v>
      </c>
      <c r="K34">
        <v>74</v>
      </c>
      <c r="L34">
        <v>6</v>
      </c>
      <c r="M34">
        <v>0</v>
      </c>
      <c r="N34">
        <v>0.92000857816856096</v>
      </c>
      <c r="O34">
        <v>0.87972027972027977</v>
      </c>
      <c r="P34">
        <v>317460</v>
      </c>
      <c r="Q34">
        <v>6.7567567567567571E-2</v>
      </c>
      <c r="R34">
        <v>1</v>
      </c>
      <c r="S34">
        <v>0.45467455630655285</v>
      </c>
    </row>
    <row r="35" spans="1:19" x14ac:dyDescent="0.35">
      <c r="A35" t="s">
        <v>75</v>
      </c>
      <c r="B35" t="s">
        <v>12</v>
      </c>
      <c r="C35" t="s">
        <v>13</v>
      </c>
      <c r="D35" t="s">
        <v>14</v>
      </c>
      <c r="E35" t="s">
        <v>20</v>
      </c>
      <c r="F35">
        <v>2444</v>
      </c>
      <c r="G35">
        <v>2325</v>
      </c>
      <c r="H35" s="9">
        <v>46213</v>
      </c>
      <c r="I35" s="9">
        <v>46212</v>
      </c>
      <c r="J35">
        <v>281</v>
      </c>
      <c r="K35">
        <v>50</v>
      </c>
      <c r="L35">
        <v>-1</v>
      </c>
      <c r="M35">
        <v>1</v>
      </c>
      <c r="N35">
        <v>0.95130932896890341</v>
      </c>
      <c r="O35">
        <v>0.87913978494623657</v>
      </c>
      <c r="P35">
        <v>116250</v>
      </c>
      <c r="Q35">
        <v>0.1</v>
      </c>
      <c r="R35">
        <v>0</v>
      </c>
      <c r="S35">
        <v>0.86400380127765164</v>
      </c>
    </row>
    <row r="36" spans="1:19" x14ac:dyDescent="0.35">
      <c r="A36" t="s">
        <v>241</v>
      </c>
      <c r="B36" t="s">
        <v>12</v>
      </c>
      <c r="C36" t="s">
        <v>13</v>
      </c>
      <c r="D36" t="s">
        <v>33</v>
      </c>
      <c r="E36" t="s">
        <v>52</v>
      </c>
      <c r="F36">
        <v>1754</v>
      </c>
      <c r="G36">
        <v>1666</v>
      </c>
      <c r="H36" s="9">
        <v>46096</v>
      </c>
      <c r="I36" s="9">
        <v>46095</v>
      </c>
      <c r="J36">
        <v>201</v>
      </c>
      <c r="K36">
        <v>224</v>
      </c>
      <c r="L36">
        <v>-1</v>
      </c>
      <c r="M36">
        <v>1</v>
      </c>
      <c r="N36">
        <v>0.94982896237172176</v>
      </c>
      <c r="O36">
        <v>0.87935174069627853</v>
      </c>
      <c r="P36">
        <v>373184</v>
      </c>
      <c r="Q36">
        <v>2.2321428571428572E-2</v>
      </c>
      <c r="R36">
        <v>0</v>
      </c>
      <c r="S36">
        <v>0.85600345754037088</v>
      </c>
    </row>
    <row r="37" spans="1:19" x14ac:dyDescent="0.35">
      <c r="A37" t="s">
        <v>240</v>
      </c>
      <c r="B37" t="s">
        <v>12</v>
      </c>
      <c r="C37" t="s">
        <v>13</v>
      </c>
      <c r="D37" t="s">
        <v>55</v>
      </c>
      <c r="E37" t="s">
        <v>34</v>
      </c>
      <c r="F37">
        <v>4930</v>
      </c>
      <c r="G37">
        <v>4847</v>
      </c>
      <c r="H37" s="9">
        <v>46195</v>
      </c>
      <c r="I37" s="9">
        <v>46193</v>
      </c>
      <c r="J37">
        <v>587</v>
      </c>
      <c r="K37">
        <v>150</v>
      </c>
      <c r="L37">
        <v>-2</v>
      </c>
      <c r="M37">
        <v>1</v>
      </c>
      <c r="N37">
        <v>0.98316430020283974</v>
      </c>
      <c r="O37">
        <v>0.87889416133690945</v>
      </c>
      <c r="P37">
        <v>727050</v>
      </c>
      <c r="Q37">
        <v>3.3333333333333333E-2</v>
      </c>
      <c r="R37">
        <v>0</v>
      </c>
      <c r="S37">
        <v>0.86363444177497406</v>
      </c>
    </row>
    <row r="38" spans="1:19" x14ac:dyDescent="0.35">
      <c r="A38" t="s">
        <v>238</v>
      </c>
      <c r="B38" t="s">
        <v>12</v>
      </c>
      <c r="C38" t="s">
        <v>13</v>
      </c>
      <c r="D38" t="s">
        <v>55</v>
      </c>
      <c r="E38" t="s">
        <v>70</v>
      </c>
      <c r="F38">
        <v>906</v>
      </c>
      <c r="G38">
        <v>842</v>
      </c>
      <c r="H38" s="9">
        <v>46047</v>
      </c>
      <c r="I38" s="9">
        <v>46047</v>
      </c>
      <c r="J38">
        <v>103</v>
      </c>
      <c r="K38">
        <v>138</v>
      </c>
      <c r="L38">
        <v>0</v>
      </c>
      <c r="M38">
        <v>1</v>
      </c>
      <c r="N38">
        <v>0.92935982339955847</v>
      </c>
      <c r="O38">
        <v>0.8776722090261283</v>
      </c>
      <c r="P38">
        <v>116196</v>
      </c>
      <c r="Q38">
        <v>3.6231884057971016E-2</v>
      </c>
      <c r="R38">
        <v>0</v>
      </c>
      <c r="S38">
        <v>0.85279681579354738</v>
      </c>
    </row>
    <row r="39" spans="1:19" x14ac:dyDescent="0.35">
      <c r="A39" t="s">
        <v>81</v>
      </c>
      <c r="B39" t="s">
        <v>12</v>
      </c>
      <c r="C39" t="s">
        <v>13</v>
      </c>
      <c r="D39" t="s">
        <v>55</v>
      </c>
      <c r="E39" t="s">
        <v>47</v>
      </c>
      <c r="F39">
        <v>2672</v>
      </c>
      <c r="G39">
        <v>2540</v>
      </c>
      <c r="H39" s="9">
        <v>46343</v>
      </c>
      <c r="I39" s="9">
        <v>46343</v>
      </c>
      <c r="J39">
        <v>307</v>
      </c>
      <c r="K39">
        <v>16</v>
      </c>
      <c r="L39">
        <v>0</v>
      </c>
      <c r="M39">
        <v>1</v>
      </c>
      <c r="N39">
        <v>0.95059880239520955</v>
      </c>
      <c r="O39">
        <v>0.87913385826771651</v>
      </c>
      <c r="P39">
        <v>40640</v>
      </c>
      <c r="Q39">
        <v>0.3125</v>
      </c>
      <c r="R39">
        <v>0</v>
      </c>
      <c r="S39">
        <v>0.8851099179593569</v>
      </c>
    </row>
    <row r="40" spans="1:19" x14ac:dyDescent="0.35">
      <c r="A40" t="s">
        <v>82</v>
      </c>
      <c r="B40" t="s">
        <v>12</v>
      </c>
      <c r="C40" t="s">
        <v>13</v>
      </c>
      <c r="D40" t="s">
        <v>19</v>
      </c>
      <c r="E40" t="s">
        <v>40</v>
      </c>
      <c r="F40">
        <v>2469</v>
      </c>
      <c r="G40">
        <v>2298</v>
      </c>
      <c r="H40" s="9">
        <v>46246</v>
      </c>
      <c r="I40" s="9">
        <v>46255</v>
      </c>
      <c r="J40">
        <v>281</v>
      </c>
      <c r="K40">
        <v>103</v>
      </c>
      <c r="L40">
        <v>9</v>
      </c>
      <c r="M40">
        <v>0</v>
      </c>
      <c r="N40">
        <v>0.93074119076549211</v>
      </c>
      <c r="O40">
        <v>0.87771975630983468</v>
      </c>
      <c r="P40">
        <v>236694</v>
      </c>
      <c r="Q40">
        <v>4.8543689320388349E-2</v>
      </c>
      <c r="R40">
        <v>1</v>
      </c>
      <c r="S40">
        <v>0.45431853397808769</v>
      </c>
    </row>
    <row r="41" spans="1:19" x14ac:dyDescent="0.35">
      <c r="A41" t="s">
        <v>83</v>
      </c>
      <c r="B41" t="s">
        <v>12</v>
      </c>
      <c r="C41" t="s">
        <v>13</v>
      </c>
      <c r="D41" t="s">
        <v>33</v>
      </c>
      <c r="E41" t="s">
        <v>47</v>
      </c>
      <c r="F41">
        <v>636</v>
      </c>
      <c r="G41">
        <v>606</v>
      </c>
      <c r="H41" s="9">
        <v>46347</v>
      </c>
      <c r="I41" s="9">
        <v>46350</v>
      </c>
      <c r="J41">
        <v>74</v>
      </c>
      <c r="K41">
        <v>69</v>
      </c>
      <c r="L41">
        <v>3</v>
      </c>
      <c r="M41">
        <v>0</v>
      </c>
      <c r="N41">
        <v>0.95283018867924529</v>
      </c>
      <c r="O41">
        <v>0.87788778877887785</v>
      </c>
      <c r="P41">
        <v>41814</v>
      </c>
      <c r="Q41">
        <v>7.2463768115942032E-2</v>
      </c>
      <c r="R41">
        <v>1</v>
      </c>
      <c r="S41">
        <v>0.46117875118110657</v>
      </c>
    </row>
    <row r="42" spans="1:19" x14ac:dyDescent="0.35">
      <c r="A42" t="s">
        <v>225</v>
      </c>
      <c r="B42" t="s">
        <v>12</v>
      </c>
      <c r="C42" t="s">
        <v>13</v>
      </c>
      <c r="D42" t="s">
        <v>19</v>
      </c>
      <c r="E42" t="s">
        <v>34</v>
      </c>
      <c r="F42">
        <v>2916</v>
      </c>
      <c r="G42">
        <v>2843</v>
      </c>
      <c r="H42" s="9">
        <v>46193</v>
      </c>
      <c r="I42" s="9">
        <v>46202</v>
      </c>
      <c r="J42">
        <v>347</v>
      </c>
      <c r="K42">
        <v>134</v>
      </c>
      <c r="L42">
        <v>9</v>
      </c>
      <c r="M42">
        <v>0</v>
      </c>
      <c r="N42">
        <v>0.97496570644718794</v>
      </c>
      <c r="O42">
        <v>0.87794583186774533</v>
      </c>
      <c r="P42">
        <v>380962</v>
      </c>
      <c r="Q42">
        <v>3.7313432835820892E-2</v>
      </c>
      <c r="R42">
        <v>1</v>
      </c>
      <c r="S42">
        <v>0.46210823413334329</v>
      </c>
    </row>
    <row r="43" spans="1:19" x14ac:dyDescent="0.35">
      <c r="A43" t="s">
        <v>216</v>
      </c>
      <c r="B43" t="s">
        <v>12</v>
      </c>
      <c r="C43" t="s">
        <v>13</v>
      </c>
      <c r="D43" t="s">
        <v>33</v>
      </c>
      <c r="E43" t="s">
        <v>15</v>
      </c>
      <c r="F43">
        <v>350</v>
      </c>
      <c r="G43">
        <v>342</v>
      </c>
      <c r="H43" s="9">
        <v>46382</v>
      </c>
      <c r="I43" s="9">
        <v>46384</v>
      </c>
      <c r="J43">
        <v>42</v>
      </c>
      <c r="K43">
        <v>97</v>
      </c>
      <c r="L43">
        <v>2</v>
      </c>
      <c r="M43">
        <v>0</v>
      </c>
      <c r="N43">
        <v>0.97714285714285709</v>
      </c>
      <c r="O43">
        <v>0.8771929824561403</v>
      </c>
      <c r="P43">
        <v>33174</v>
      </c>
      <c r="Q43">
        <v>5.1546391752577317E-2</v>
      </c>
      <c r="R43">
        <v>1</v>
      </c>
      <c r="S43">
        <v>0.46374110534067126</v>
      </c>
    </row>
    <row r="44" spans="1:19" x14ac:dyDescent="0.35">
      <c r="A44" t="s">
        <v>205</v>
      </c>
      <c r="B44" t="s">
        <v>12</v>
      </c>
      <c r="C44" t="s">
        <v>13</v>
      </c>
      <c r="D44" t="s">
        <v>19</v>
      </c>
      <c r="E44" t="s">
        <v>96</v>
      </c>
      <c r="F44">
        <v>3310</v>
      </c>
      <c r="G44">
        <v>3302</v>
      </c>
      <c r="H44" s="9">
        <v>46132</v>
      </c>
      <c r="I44" s="9">
        <v>46132</v>
      </c>
      <c r="J44">
        <v>399</v>
      </c>
      <c r="K44">
        <v>124</v>
      </c>
      <c r="L44">
        <v>0</v>
      </c>
      <c r="M44">
        <v>1</v>
      </c>
      <c r="N44">
        <v>0.99758308157099695</v>
      </c>
      <c r="O44">
        <v>0.87916414294367051</v>
      </c>
      <c r="P44">
        <v>409448</v>
      </c>
      <c r="Q44">
        <v>4.0322580645161289E-2</v>
      </c>
      <c r="R44">
        <v>0</v>
      </c>
      <c r="S44">
        <v>0.8672981172618166</v>
      </c>
    </row>
    <row r="45" spans="1:19" x14ac:dyDescent="0.35">
      <c r="A45" t="s">
        <v>204</v>
      </c>
      <c r="B45" t="s">
        <v>12</v>
      </c>
      <c r="C45" t="s">
        <v>13</v>
      </c>
      <c r="D45" t="s">
        <v>19</v>
      </c>
      <c r="E45" t="s">
        <v>24</v>
      </c>
      <c r="F45">
        <v>1635</v>
      </c>
      <c r="G45">
        <v>1624</v>
      </c>
      <c r="H45" s="9">
        <v>46172</v>
      </c>
      <c r="I45" s="9">
        <v>46172</v>
      </c>
      <c r="J45">
        <v>195</v>
      </c>
      <c r="K45">
        <v>12</v>
      </c>
      <c r="L45">
        <v>0</v>
      </c>
      <c r="M45">
        <v>1</v>
      </c>
      <c r="N45">
        <v>0.99327217125382261</v>
      </c>
      <c r="O45">
        <v>0.87992610837438423</v>
      </c>
      <c r="P45">
        <v>19488</v>
      </c>
      <c r="Q45">
        <v>0.41666666666666669</v>
      </c>
      <c r="R45">
        <v>0</v>
      </c>
      <c r="S45">
        <v>0.90429893342974654</v>
      </c>
    </row>
    <row r="46" spans="1:19" x14ac:dyDescent="0.35">
      <c r="A46" t="s">
        <v>191</v>
      </c>
      <c r="B46" t="s">
        <v>12</v>
      </c>
      <c r="C46" t="s">
        <v>13</v>
      </c>
      <c r="D46" t="s">
        <v>19</v>
      </c>
      <c r="E46" t="s">
        <v>70</v>
      </c>
      <c r="F46">
        <v>1904</v>
      </c>
      <c r="G46">
        <v>1755</v>
      </c>
      <c r="H46" s="9">
        <v>46039</v>
      </c>
      <c r="I46" s="9">
        <v>46037</v>
      </c>
      <c r="J46">
        <v>211</v>
      </c>
      <c r="K46">
        <v>12</v>
      </c>
      <c r="L46">
        <v>-2</v>
      </c>
      <c r="M46">
        <v>1</v>
      </c>
      <c r="N46">
        <v>0.92174369747899154</v>
      </c>
      <c r="O46">
        <v>0.87977207977207972</v>
      </c>
      <c r="P46">
        <v>21060</v>
      </c>
      <c r="Q46">
        <v>0.41666666666666669</v>
      </c>
      <c r="R46">
        <v>0</v>
      </c>
      <c r="S46">
        <v>0.88994703009408893</v>
      </c>
    </row>
    <row r="47" spans="1:19" x14ac:dyDescent="0.35">
      <c r="A47" t="s">
        <v>174</v>
      </c>
      <c r="B47" t="s">
        <v>12</v>
      </c>
      <c r="C47" t="s">
        <v>13</v>
      </c>
      <c r="D47" t="s">
        <v>19</v>
      </c>
      <c r="E47" t="s">
        <v>24</v>
      </c>
      <c r="F47">
        <v>3660</v>
      </c>
      <c r="G47">
        <v>3377</v>
      </c>
      <c r="H47" s="9">
        <v>46143</v>
      </c>
      <c r="I47" s="9">
        <v>46141</v>
      </c>
      <c r="J47">
        <v>407</v>
      </c>
      <c r="K47">
        <v>120</v>
      </c>
      <c r="L47">
        <v>-2</v>
      </c>
      <c r="M47">
        <v>1</v>
      </c>
      <c r="N47">
        <v>0.92267759562841534</v>
      </c>
      <c r="O47">
        <v>0.87947882736156346</v>
      </c>
      <c r="P47">
        <v>405240</v>
      </c>
      <c r="Q47">
        <v>4.1666666666666664E-2</v>
      </c>
      <c r="R47">
        <v>0</v>
      </c>
      <c r="S47">
        <v>0.85254583400081885</v>
      </c>
    </row>
    <row r="48" spans="1:19" x14ac:dyDescent="0.35">
      <c r="A48" t="s">
        <v>169</v>
      </c>
      <c r="B48" t="s">
        <v>12</v>
      </c>
      <c r="C48" t="s">
        <v>13</v>
      </c>
      <c r="D48" t="s">
        <v>19</v>
      </c>
      <c r="E48" t="s">
        <v>47</v>
      </c>
      <c r="F48">
        <v>4245</v>
      </c>
      <c r="G48">
        <v>4124</v>
      </c>
      <c r="H48" s="9">
        <v>46330</v>
      </c>
      <c r="I48" s="9">
        <v>46329</v>
      </c>
      <c r="J48">
        <v>496</v>
      </c>
      <c r="K48">
        <v>40</v>
      </c>
      <c r="L48">
        <v>-1</v>
      </c>
      <c r="M48">
        <v>1</v>
      </c>
      <c r="N48">
        <v>0.97149587750294464</v>
      </c>
      <c r="O48">
        <v>0.87972841901066923</v>
      </c>
      <c r="P48">
        <v>164960</v>
      </c>
      <c r="Q48">
        <v>0.125</v>
      </c>
      <c r="R48">
        <v>0</v>
      </c>
      <c r="S48">
        <v>0.87071770120378966</v>
      </c>
    </row>
    <row r="49" spans="1:19" x14ac:dyDescent="0.35">
      <c r="A49" t="s">
        <v>168</v>
      </c>
      <c r="B49" t="s">
        <v>12</v>
      </c>
      <c r="C49" t="s">
        <v>13</v>
      </c>
      <c r="D49" t="s">
        <v>19</v>
      </c>
      <c r="E49" t="s">
        <v>63</v>
      </c>
      <c r="F49">
        <v>3480</v>
      </c>
      <c r="G49">
        <v>3276</v>
      </c>
      <c r="H49" s="9">
        <v>46076</v>
      </c>
      <c r="I49" s="9">
        <v>46076</v>
      </c>
      <c r="J49">
        <v>397</v>
      </c>
      <c r="K49">
        <v>189</v>
      </c>
      <c r="L49">
        <v>0</v>
      </c>
      <c r="M49">
        <v>1</v>
      </c>
      <c r="N49">
        <v>0.94137931034482758</v>
      </c>
      <c r="O49">
        <v>0.8788156288156288</v>
      </c>
      <c r="P49">
        <v>619164</v>
      </c>
      <c r="Q49">
        <v>2.6455026455026454E-2</v>
      </c>
      <c r="R49">
        <v>0</v>
      </c>
      <c r="S49">
        <v>0.85456605335915692</v>
      </c>
    </row>
    <row r="50" spans="1:19" x14ac:dyDescent="0.35">
      <c r="A50" t="s">
        <v>121</v>
      </c>
      <c r="B50" t="s">
        <v>12</v>
      </c>
      <c r="C50" t="s">
        <v>13</v>
      </c>
      <c r="D50" t="s">
        <v>19</v>
      </c>
      <c r="E50" t="s">
        <v>20</v>
      </c>
      <c r="F50">
        <v>1350</v>
      </c>
      <c r="G50">
        <v>1243</v>
      </c>
      <c r="H50" s="9">
        <v>46225</v>
      </c>
      <c r="I50" s="9">
        <v>46232</v>
      </c>
      <c r="J50">
        <v>151</v>
      </c>
      <c r="K50">
        <v>85</v>
      </c>
      <c r="L50">
        <v>7</v>
      </c>
      <c r="M50">
        <v>0</v>
      </c>
      <c r="N50">
        <v>0.92074074074074075</v>
      </c>
      <c r="O50">
        <v>0.87851971037811749</v>
      </c>
      <c r="P50">
        <v>105655</v>
      </c>
      <c r="Q50">
        <v>5.8823529411764705E-2</v>
      </c>
      <c r="R50">
        <v>1</v>
      </c>
      <c r="S50">
        <v>0.45358641420275986</v>
      </c>
    </row>
    <row r="51" spans="1:19" x14ac:dyDescent="0.35">
      <c r="A51" t="s">
        <v>112</v>
      </c>
      <c r="B51" t="s">
        <v>12</v>
      </c>
      <c r="C51" t="s">
        <v>13</v>
      </c>
      <c r="D51" t="s">
        <v>33</v>
      </c>
      <c r="E51" t="s">
        <v>28</v>
      </c>
      <c r="F51">
        <v>3304</v>
      </c>
      <c r="G51">
        <v>3078</v>
      </c>
      <c r="H51" s="9">
        <v>46278</v>
      </c>
      <c r="I51" s="9">
        <v>46276</v>
      </c>
      <c r="J51">
        <v>374</v>
      </c>
      <c r="K51">
        <v>85</v>
      </c>
      <c r="L51">
        <v>-2</v>
      </c>
      <c r="M51">
        <v>1</v>
      </c>
      <c r="N51">
        <v>0.93159806295399517</v>
      </c>
      <c r="O51">
        <v>0.87849252761533458</v>
      </c>
      <c r="P51">
        <v>261630</v>
      </c>
      <c r="Q51">
        <v>5.8823529411764705E-2</v>
      </c>
      <c r="R51">
        <v>0</v>
      </c>
      <c r="S51">
        <v>0.85574972381657588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0170E-8B14-4E06-AF87-0C256450395C}">
  <dimension ref="A1:U57"/>
  <sheetViews>
    <sheetView topLeftCell="A30" zoomScale="97" zoomScaleNormal="55" workbookViewId="0">
      <selection activeCell="A30" sqref="A30"/>
    </sheetView>
  </sheetViews>
  <sheetFormatPr defaultRowHeight="14.5" x14ac:dyDescent="0.35"/>
  <cols>
    <col min="1" max="1" width="18.36328125" bestFit="1" customWidth="1"/>
    <col min="2" max="2" width="13.26953125" bestFit="1" customWidth="1"/>
    <col min="3" max="3" width="20.08984375" bestFit="1" customWidth="1"/>
    <col min="4" max="4" width="18.36328125" bestFit="1" customWidth="1"/>
    <col min="5" max="5" width="16.81640625" bestFit="1" customWidth="1"/>
    <col min="6" max="6" width="13.6328125" bestFit="1" customWidth="1"/>
    <col min="7" max="7" width="18.36328125" bestFit="1" customWidth="1"/>
    <col min="8" max="8" width="20.90625" bestFit="1" customWidth="1"/>
    <col min="9" max="9" width="20.08984375" bestFit="1" customWidth="1"/>
    <col min="10" max="10" width="18.36328125" bestFit="1" customWidth="1"/>
    <col min="11" max="11" width="16.6328125" bestFit="1" customWidth="1"/>
    <col min="12" max="12" width="20.08984375" bestFit="1" customWidth="1"/>
    <col min="13" max="13" width="16.81640625" bestFit="1" customWidth="1"/>
    <col min="14" max="14" width="20.90625" bestFit="1" customWidth="1"/>
    <col min="15" max="15" width="18.6328125" bestFit="1" customWidth="1"/>
    <col min="16" max="16" width="13.81640625" bestFit="1" customWidth="1"/>
  </cols>
  <sheetData>
    <row r="1" spans="1:17" x14ac:dyDescent="0.35">
      <c r="A1" s="4" t="s">
        <v>559</v>
      </c>
    </row>
    <row r="2" spans="1:17" x14ac:dyDescent="0.35">
      <c r="A2" s="4" t="str">
        <f>INDEX(A4:A13,MATCH(MAX(B4:B13),B4:B13,0))</f>
        <v>Vertex Solutions</v>
      </c>
      <c r="B2" s="7">
        <f>MAX(B4:B13)</f>
        <v>0.97872340425531912</v>
      </c>
      <c r="G2" s="4" t="s">
        <v>563</v>
      </c>
    </row>
    <row r="3" spans="1:17" x14ac:dyDescent="0.35">
      <c r="A3" s="2" t="s">
        <v>560</v>
      </c>
      <c r="B3" t="s">
        <v>554</v>
      </c>
      <c r="C3" t="s">
        <v>555</v>
      </c>
      <c r="D3" t="s">
        <v>575</v>
      </c>
      <c r="E3" t="s">
        <v>557</v>
      </c>
      <c r="G3" s="2" t="s">
        <v>560</v>
      </c>
      <c r="H3" t="s">
        <v>558</v>
      </c>
      <c r="J3" s="2" t="s">
        <v>577</v>
      </c>
      <c r="K3" t="s">
        <v>584</v>
      </c>
      <c r="L3" t="s">
        <v>555</v>
      </c>
      <c r="M3" t="s">
        <v>556</v>
      </c>
      <c r="N3" t="s">
        <v>557</v>
      </c>
      <c r="O3" t="s">
        <v>567</v>
      </c>
    </row>
    <row r="4" spans="1:17" x14ac:dyDescent="0.35">
      <c r="A4" s="3" t="s">
        <v>23</v>
      </c>
      <c r="B4" s="7">
        <v>0.7857142857142857</v>
      </c>
      <c r="C4" s="7">
        <v>0.92805106263770398</v>
      </c>
      <c r="D4" s="7">
        <v>8.9797331993659094E-2</v>
      </c>
      <c r="E4" s="7">
        <v>0.79445123502116366</v>
      </c>
      <c r="F4" s="7"/>
      <c r="G4" s="3" t="s">
        <v>13</v>
      </c>
      <c r="H4" s="20">
        <v>14695</v>
      </c>
      <c r="J4" s="3" t="s">
        <v>27</v>
      </c>
      <c r="K4" s="7">
        <v>0.96161988843220503</v>
      </c>
      <c r="L4" s="7">
        <v>0.98703947003178816</v>
      </c>
      <c r="M4" s="32">
        <v>12712598</v>
      </c>
      <c r="N4" s="7">
        <v>0.87919470850957127</v>
      </c>
      <c r="O4" s="20">
        <v>2</v>
      </c>
    </row>
    <row r="5" spans="1:17" x14ac:dyDescent="0.35">
      <c r="A5" s="3" t="s">
        <v>43</v>
      </c>
      <c r="B5" s="7">
        <v>0.97872340425531912</v>
      </c>
      <c r="C5" s="7">
        <v>0.98814565584689218</v>
      </c>
      <c r="D5" s="7">
        <v>7.6840886246513876E-2</v>
      </c>
      <c r="E5" s="7">
        <v>0.88863758882949972</v>
      </c>
      <c r="F5" s="7"/>
      <c r="G5" s="3" t="s">
        <v>46</v>
      </c>
      <c r="H5" s="20">
        <v>12752</v>
      </c>
      <c r="J5" s="3" t="s">
        <v>31</v>
      </c>
      <c r="K5" s="7">
        <v>0.95644402146713925</v>
      </c>
      <c r="L5" s="7">
        <v>0.96800494442260154</v>
      </c>
      <c r="M5" s="32">
        <v>14904559</v>
      </c>
      <c r="N5" s="7">
        <v>0.8395226252091138</v>
      </c>
      <c r="O5" s="20">
        <v>5</v>
      </c>
    </row>
    <row r="6" spans="1:17" x14ac:dyDescent="0.35">
      <c r="A6" s="3" t="s">
        <v>79</v>
      </c>
      <c r="B6" s="7">
        <v>0.8571428571428571</v>
      </c>
      <c r="C6" s="7">
        <v>0.94802116212337662</v>
      </c>
      <c r="D6" s="7">
        <v>0.12817136270201476</v>
      </c>
      <c r="E6" s="7">
        <v>0.83200832941753355</v>
      </c>
      <c r="F6" s="7"/>
      <c r="G6" s="3" t="s">
        <v>60</v>
      </c>
      <c r="H6" s="20">
        <v>9303</v>
      </c>
      <c r="J6" s="3" t="s">
        <v>46</v>
      </c>
      <c r="K6" s="7">
        <v>0.9595971063356401</v>
      </c>
      <c r="L6" s="7">
        <v>0.90815693933449537</v>
      </c>
      <c r="M6" s="32">
        <v>17650262</v>
      </c>
      <c r="N6" s="7">
        <v>0.83269458056157974</v>
      </c>
      <c r="O6" s="20">
        <v>6</v>
      </c>
    </row>
    <row r="7" spans="1:17" x14ac:dyDescent="0.35">
      <c r="A7" s="3" t="s">
        <v>13</v>
      </c>
      <c r="B7" s="7">
        <v>0.64583333333333337</v>
      </c>
      <c r="C7" s="7">
        <v>0.87861385004909887</v>
      </c>
      <c r="D7" s="7">
        <v>9.8883764672140315E-2</v>
      </c>
      <c r="E7" s="7">
        <v>0.723579968130457</v>
      </c>
      <c r="F7" s="7"/>
      <c r="G7" s="3" t="s">
        <v>23</v>
      </c>
      <c r="H7" s="20">
        <v>9102</v>
      </c>
      <c r="J7" s="3" t="s">
        <v>39</v>
      </c>
      <c r="K7" s="7">
        <v>0.95918921591235684</v>
      </c>
      <c r="L7" s="7">
        <v>0.97841745107356104</v>
      </c>
      <c r="M7" s="32">
        <v>16584907</v>
      </c>
      <c r="N7" s="7">
        <v>0.87704247600186858</v>
      </c>
      <c r="O7" s="20">
        <v>2</v>
      </c>
      <c r="P7" t="s">
        <v>3</v>
      </c>
      <c r="Q7" t="s">
        <v>589</v>
      </c>
    </row>
    <row r="8" spans="1:17" x14ac:dyDescent="0.35">
      <c r="A8" s="3" t="s">
        <v>18</v>
      </c>
      <c r="B8" s="7">
        <v>0.92982456140350878</v>
      </c>
      <c r="C8" s="7">
        <v>0.95726241049440819</v>
      </c>
      <c r="D8" s="7">
        <v>6.6584592629716527E-2</v>
      </c>
      <c r="E8" s="7">
        <v>0.85802545440193301</v>
      </c>
      <c r="F8" s="7"/>
      <c r="G8" s="3" t="s">
        <v>18</v>
      </c>
      <c r="H8" s="20">
        <v>5462</v>
      </c>
      <c r="J8" s="3" t="s">
        <v>60</v>
      </c>
      <c r="K8" s="7">
        <v>0.96208675423814582</v>
      </c>
      <c r="L8" s="7">
        <v>0.93784884761068321</v>
      </c>
      <c r="M8" s="32">
        <v>16822670</v>
      </c>
      <c r="N8" s="7">
        <v>0.84137420489695713</v>
      </c>
      <c r="O8" s="20">
        <v>6</v>
      </c>
      <c r="P8" t="s">
        <v>590</v>
      </c>
      <c r="Q8">
        <v>6</v>
      </c>
    </row>
    <row r="9" spans="1:17" x14ac:dyDescent="0.35">
      <c r="A9" s="3" t="s">
        <v>60</v>
      </c>
      <c r="B9" s="7">
        <v>0.89830508474576276</v>
      </c>
      <c r="C9" s="7">
        <v>0.93784884761068321</v>
      </c>
      <c r="D9" s="7">
        <v>8.2801658678178944E-2</v>
      </c>
      <c r="E9" s="7">
        <v>0.84137420489695713</v>
      </c>
      <c r="F9" s="7"/>
      <c r="G9" s="3" t="s">
        <v>79</v>
      </c>
      <c r="H9" s="20">
        <v>5246</v>
      </c>
      <c r="J9" s="3" t="s">
        <v>18</v>
      </c>
      <c r="K9" s="7">
        <v>0.96129223714617706</v>
      </c>
      <c r="L9" s="7">
        <v>0.95726241049440819</v>
      </c>
      <c r="M9" s="32">
        <v>17143945</v>
      </c>
      <c r="N9" s="7">
        <v>0.85802545440193301</v>
      </c>
      <c r="O9" s="20">
        <v>4</v>
      </c>
      <c r="P9" t="s">
        <v>591</v>
      </c>
      <c r="Q9">
        <v>2</v>
      </c>
    </row>
    <row r="10" spans="1:17" x14ac:dyDescent="0.35">
      <c r="A10" s="3" t="s">
        <v>39</v>
      </c>
      <c r="B10" s="7">
        <v>0.95918367346938771</v>
      </c>
      <c r="C10" s="7">
        <v>0.97841745107356104</v>
      </c>
      <c r="D10" s="7">
        <v>8.0059281095738802E-2</v>
      </c>
      <c r="E10" s="7">
        <v>0.87704247600186858</v>
      </c>
      <c r="F10" s="7"/>
      <c r="G10" s="3" t="s">
        <v>31</v>
      </c>
      <c r="H10" s="20">
        <v>3508</v>
      </c>
      <c r="J10" s="3" t="s">
        <v>13</v>
      </c>
      <c r="K10" s="7">
        <v>0.95887051657590072</v>
      </c>
      <c r="L10" s="7">
        <v>0.87861385004909887</v>
      </c>
      <c r="M10" s="32">
        <v>13662668</v>
      </c>
      <c r="N10" s="7">
        <v>0.723579968130457</v>
      </c>
      <c r="O10" s="20">
        <v>17</v>
      </c>
      <c r="P10" t="s">
        <v>592</v>
      </c>
      <c r="Q10">
        <v>2</v>
      </c>
    </row>
    <row r="11" spans="1:17" x14ac:dyDescent="0.35">
      <c r="A11" s="3" t="s">
        <v>46</v>
      </c>
      <c r="B11" s="7">
        <v>0.89655172413793105</v>
      </c>
      <c r="C11" s="7">
        <v>0.90815693933449537</v>
      </c>
      <c r="D11" s="7">
        <v>9.7073878389304313E-2</v>
      </c>
      <c r="E11" s="7">
        <v>0.83269458056157974</v>
      </c>
      <c r="F11" s="7"/>
      <c r="G11" s="3" t="s">
        <v>39</v>
      </c>
      <c r="H11" s="20">
        <v>2624</v>
      </c>
      <c r="J11" s="3" t="s">
        <v>79</v>
      </c>
      <c r="K11" s="7">
        <v>0.95963850826588115</v>
      </c>
      <c r="L11" s="7">
        <v>0.94802116212337662</v>
      </c>
      <c r="M11" s="32">
        <v>10735271</v>
      </c>
      <c r="N11" s="7">
        <v>0.83200832941753355</v>
      </c>
      <c r="O11" s="20">
        <v>6</v>
      </c>
    </row>
    <row r="12" spans="1:17" x14ac:dyDescent="0.35">
      <c r="A12" s="3" t="s">
        <v>31</v>
      </c>
      <c r="B12" s="7">
        <v>0.88095238095238093</v>
      </c>
      <c r="C12" s="7">
        <v>0.96800494442260154</v>
      </c>
      <c r="D12" s="7">
        <v>5.4513852079533069E-2</v>
      </c>
      <c r="E12" s="7">
        <v>0.8395226252091138</v>
      </c>
      <c r="F12" s="7"/>
      <c r="G12" s="3" t="s">
        <v>43</v>
      </c>
      <c r="H12" s="20">
        <v>1300</v>
      </c>
      <c r="J12" s="3" t="s">
        <v>43</v>
      </c>
      <c r="K12" s="7">
        <v>0.96510220874326658</v>
      </c>
      <c r="L12" s="7">
        <v>0.98814565584689218</v>
      </c>
      <c r="M12" s="32">
        <v>17079564</v>
      </c>
      <c r="N12" s="7">
        <v>0.88863758882949972</v>
      </c>
      <c r="O12" s="20">
        <v>1</v>
      </c>
    </row>
    <row r="13" spans="1:17" x14ac:dyDescent="0.35">
      <c r="A13" s="3" t="s">
        <v>27</v>
      </c>
      <c r="B13" s="7">
        <v>0.95238095238095233</v>
      </c>
      <c r="C13" s="7">
        <v>0.98703947003178816</v>
      </c>
      <c r="D13" s="7">
        <v>9.8065088612125303E-2</v>
      </c>
      <c r="E13" s="7">
        <v>0.87919470850957127</v>
      </c>
      <c r="F13" s="7"/>
      <c r="G13" s="3" t="s">
        <v>27</v>
      </c>
      <c r="H13" s="20">
        <v>1075</v>
      </c>
      <c r="J13" s="3" t="s">
        <v>23</v>
      </c>
      <c r="K13" s="7">
        <v>0.9638523437238613</v>
      </c>
      <c r="L13" s="7">
        <v>0.92805106263770398</v>
      </c>
      <c r="M13" s="32">
        <v>15824235</v>
      </c>
      <c r="N13" s="7">
        <v>0.79445123502116366</v>
      </c>
      <c r="O13" s="20">
        <v>12</v>
      </c>
    </row>
    <row r="14" spans="1:17" x14ac:dyDescent="0.35">
      <c r="A14" s="3" t="s">
        <v>553</v>
      </c>
      <c r="B14" s="7">
        <v>0.878</v>
      </c>
      <c r="C14" s="7">
        <v>0.9460570426847108</v>
      </c>
      <c r="D14" s="7">
        <v>8.6823830108410716E-2</v>
      </c>
      <c r="E14" s="7">
        <v>0.83587489628929745</v>
      </c>
      <c r="F14" s="7"/>
      <c r="G14" s="3" t="s">
        <v>553</v>
      </c>
      <c r="H14" s="20">
        <v>65067</v>
      </c>
      <c r="J14" s="3" t="s">
        <v>553</v>
      </c>
      <c r="K14" s="7">
        <v>0.96087700236521534</v>
      </c>
      <c r="L14" s="7">
        <v>0.94605704268470947</v>
      </c>
      <c r="M14" s="32">
        <v>153120679</v>
      </c>
      <c r="N14" s="7">
        <v>0.83587489628929768</v>
      </c>
      <c r="O14" s="20">
        <v>61</v>
      </c>
    </row>
    <row r="16" spans="1:17" x14ac:dyDescent="0.35">
      <c r="A16" s="5" t="s">
        <v>561</v>
      </c>
      <c r="D16" s="4" t="s">
        <v>562</v>
      </c>
    </row>
    <row r="17" spans="1:21" x14ac:dyDescent="0.35">
      <c r="A17" s="2" t="s">
        <v>4</v>
      </c>
      <c r="B17" t="s">
        <v>556</v>
      </c>
      <c r="D17" s="2" t="s">
        <v>560</v>
      </c>
      <c r="E17" t="s">
        <v>567</v>
      </c>
      <c r="G17" s="2" t="s">
        <v>560</v>
      </c>
      <c r="H17" t="s">
        <v>556</v>
      </c>
      <c r="J17" s="2" t="s">
        <v>577</v>
      </c>
      <c r="K17" t="s">
        <v>556</v>
      </c>
      <c r="L17" t="s">
        <v>586</v>
      </c>
      <c r="M17" t="s">
        <v>587</v>
      </c>
      <c r="N17" t="s">
        <v>588</v>
      </c>
      <c r="O17" t="s">
        <v>589</v>
      </c>
      <c r="P17" t="s">
        <v>3</v>
      </c>
      <c r="Q17" t="s">
        <v>589</v>
      </c>
      <c r="S17" t="s">
        <v>577</v>
      </c>
      <c r="T17" t="s">
        <v>556</v>
      </c>
      <c r="U17" t="s">
        <v>587</v>
      </c>
    </row>
    <row r="18" spans="1:21" x14ac:dyDescent="0.35">
      <c r="A18" s="3" t="s">
        <v>70</v>
      </c>
      <c r="B18" s="20">
        <v>11666914</v>
      </c>
      <c r="D18" s="3" t="s">
        <v>13</v>
      </c>
      <c r="E18" s="20">
        <v>17</v>
      </c>
      <c r="G18" s="3" t="s">
        <v>46</v>
      </c>
      <c r="H18" s="31">
        <v>17650262</v>
      </c>
      <c r="J18" s="3" t="s">
        <v>46</v>
      </c>
      <c r="K18" s="20">
        <v>17650262</v>
      </c>
      <c r="L18" s="6">
        <f>K18/SUM($K$18:$K$27)</f>
        <v>0.11527026992872726</v>
      </c>
      <c r="M18" s="6">
        <f>L18</f>
        <v>0.11527026992872726</v>
      </c>
      <c r="N18" t="str">
        <f>IF(M18&lt;=70%,"A",IF(M18&lt;=90%,"B","C"))</f>
        <v>A</v>
      </c>
      <c r="O18">
        <f>COUNTIF(N18:N27,"A")</f>
        <v>6</v>
      </c>
      <c r="P18" t="s">
        <v>590</v>
      </c>
      <c r="Q18">
        <f>COUNTIF(P18:P27,"A")</f>
        <v>1</v>
      </c>
      <c r="S18" t="s">
        <v>46</v>
      </c>
      <c r="T18">
        <v>17650262</v>
      </c>
      <c r="U18" s="6">
        <v>0.11527026992872726</v>
      </c>
    </row>
    <row r="19" spans="1:21" x14ac:dyDescent="0.35">
      <c r="A19" s="3" t="s">
        <v>63</v>
      </c>
      <c r="B19" s="20">
        <v>11168085</v>
      </c>
      <c r="D19" s="3" t="s">
        <v>23</v>
      </c>
      <c r="E19" s="20">
        <v>12</v>
      </c>
      <c r="G19" s="3" t="s">
        <v>18</v>
      </c>
      <c r="H19" s="31">
        <v>17143945</v>
      </c>
      <c r="J19" s="3" t="s">
        <v>18</v>
      </c>
      <c r="K19" s="20">
        <v>17143945</v>
      </c>
      <c r="L19" s="6">
        <f t="shared" ref="L19:L28" si="0">K19/SUM($K$18:$K$27)</f>
        <v>0.11196361661901982</v>
      </c>
      <c r="M19" s="7">
        <f>L19+M18</f>
        <v>0.22723388654774707</v>
      </c>
      <c r="N19" t="str">
        <f t="shared" ref="N19:N27" si="1">IF(M19&lt;=70%,"A",IF(M19&lt;=90%,"B","C"))</f>
        <v>A</v>
      </c>
      <c r="O19">
        <f>COUNTIF(N18:N27,"B")</f>
        <v>2</v>
      </c>
      <c r="P19" t="s">
        <v>591</v>
      </c>
      <c r="Q19">
        <f>COUNTIF(P18:P27,"B")</f>
        <v>1</v>
      </c>
      <c r="S19" t="s">
        <v>18</v>
      </c>
      <c r="T19">
        <v>17143945</v>
      </c>
      <c r="U19" s="7">
        <v>0.22723388654774707</v>
      </c>
    </row>
    <row r="20" spans="1:21" x14ac:dyDescent="0.35">
      <c r="A20" s="3" t="s">
        <v>52</v>
      </c>
      <c r="B20" s="20">
        <v>10038762</v>
      </c>
      <c r="D20" s="3" t="s">
        <v>79</v>
      </c>
      <c r="E20" s="20">
        <v>6</v>
      </c>
      <c r="G20" s="3" t="s">
        <v>43</v>
      </c>
      <c r="H20" s="31">
        <v>17079564</v>
      </c>
      <c r="J20" s="3" t="s">
        <v>43</v>
      </c>
      <c r="K20" s="20">
        <v>17079564</v>
      </c>
      <c r="L20" s="6">
        <f t="shared" si="0"/>
        <v>0.11154315740723694</v>
      </c>
      <c r="M20" s="7">
        <f>M19+L20</f>
        <v>0.33877704395498398</v>
      </c>
      <c r="N20" t="str">
        <f t="shared" si="1"/>
        <v>A</v>
      </c>
      <c r="O20">
        <f>COUNTIF(N18:N27,"C")</f>
        <v>2</v>
      </c>
      <c r="P20" t="s">
        <v>592</v>
      </c>
      <c r="Q20">
        <f>COUNTIF(P18:P27,"C")</f>
        <v>1</v>
      </c>
      <c r="S20" t="s">
        <v>43</v>
      </c>
      <c r="T20">
        <v>17079564</v>
      </c>
      <c r="U20" s="7">
        <v>0.33877704395498398</v>
      </c>
    </row>
    <row r="21" spans="1:21" x14ac:dyDescent="0.35">
      <c r="A21" s="3" t="s">
        <v>96</v>
      </c>
      <c r="B21" s="20">
        <v>11619046</v>
      </c>
      <c r="D21" s="3" t="s">
        <v>46</v>
      </c>
      <c r="E21" s="20">
        <v>6</v>
      </c>
      <c r="G21" s="3" t="s">
        <v>60</v>
      </c>
      <c r="H21" s="31">
        <v>16822670</v>
      </c>
      <c r="J21" s="3" t="s">
        <v>60</v>
      </c>
      <c r="K21" s="20">
        <v>16822670</v>
      </c>
      <c r="L21" s="6">
        <f t="shared" si="0"/>
        <v>0.10986543496192307</v>
      </c>
      <c r="M21" s="7">
        <f>M20+L21</f>
        <v>0.44864247891690706</v>
      </c>
      <c r="N21" t="str">
        <f t="shared" si="1"/>
        <v>A</v>
      </c>
      <c r="S21" t="s">
        <v>60</v>
      </c>
      <c r="T21">
        <v>16822670</v>
      </c>
      <c r="U21" s="7">
        <v>0.44864247891690706</v>
      </c>
    </row>
    <row r="22" spans="1:21" x14ac:dyDescent="0.35">
      <c r="A22" s="3" t="s">
        <v>24</v>
      </c>
      <c r="B22" s="20">
        <v>14847313</v>
      </c>
      <c r="D22" s="3" t="s">
        <v>60</v>
      </c>
      <c r="E22" s="20">
        <v>6</v>
      </c>
      <c r="G22" s="3" t="s">
        <v>39</v>
      </c>
      <c r="H22" s="31">
        <v>16584907</v>
      </c>
      <c r="J22" s="3" t="s">
        <v>39</v>
      </c>
      <c r="K22" s="20">
        <v>16584907</v>
      </c>
      <c r="L22" s="6">
        <f t="shared" si="0"/>
        <v>0.10831265318513902</v>
      </c>
      <c r="M22" s="7">
        <f>M21+L22</f>
        <v>0.55695513210204606</v>
      </c>
      <c r="N22" t="str">
        <f t="shared" si="1"/>
        <v>A</v>
      </c>
      <c r="S22" t="s">
        <v>39</v>
      </c>
      <c r="T22">
        <v>16584907</v>
      </c>
      <c r="U22" s="7">
        <v>0.55695513210204606</v>
      </c>
    </row>
    <row r="23" spans="1:21" x14ac:dyDescent="0.35">
      <c r="A23" s="3" t="s">
        <v>34</v>
      </c>
      <c r="B23" s="20">
        <v>15825998</v>
      </c>
      <c r="D23" s="3" t="s">
        <v>31</v>
      </c>
      <c r="E23" s="20">
        <v>5</v>
      </c>
      <c r="G23" s="3" t="s">
        <v>23</v>
      </c>
      <c r="H23" s="31">
        <v>15824235</v>
      </c>
      <c r="J23" s="3" t="s">
        <v>23</v>
      </c>
      <c r="K23" s="20">
        <v>15824235</v>
      </c>
      <c r="L23" s="6">
        <f t="shared" si="0"/>
        <v>0.10334485912252257</v>
      </c>
      <c r="M23" s="7">
        <f>M22+L23</f>
        <v>0.66029999122456862</v>
      </c>
      <c r="N23" t="str">
        <f t="shared" si="1"/>
        <v>A</v>
      </c>
      <c r="S23" t="s">
        <v>23</v>
      </c>
      <c r="T23">
        <v>15824235</v>
      </c>
      <c r="U23" s="7">
        <v>0.66029999122456862</v>
      </c>
    </row>
    <row r="24" spans="1:21" x14ac:dyDescent="0.35">
      <c r="A24" s="3" t="s">
        <v>20</v>
      </c>
      <c r="B24" s="20">
        <v>15148841</v>
      </c>
      <c r="D24" s="3" t="s">
        <v>18</v>
      </c>
      <c r="E24" s="20">
        <v>4</v>
      </c>
      <c r="G24" s="3" t="s">
        <v>31</v>
      </c>
      <c r="H24" s="31">
        <v>14904559</v>
      </c>
      <c r="J24" s="3" t="s">
        <v>31</v>
      </c>
      <c r="K24" s="20">
        <v>14904559</v>
      </c>
      <c r="L24" s="6">
        <f t="shared" si="0"/>
        <v>9.7338642287499264E-2</v>
      </c>
      <c r="M24" s="7">
        <f>M23+L24</f>
        <v>0.75763863351206784</v>
      </c>
      <c r="N24" t="str">
        <f t="shared" si="1"/>
        <v>B</v>
      </c>
      <c r="S24" t="s">
        <v>31</v>
      </c>
      <c r="T24">
        <v>14904559</v>
      </c>
      <c r="U24" s="7">
        <v>0.75763863351206784</v>
      </c>
    </row>
    <row r="25" spans="1:21" x14ac:dyDescent="0.35">
      <c r="A25" s="3" t="s">
        <v>40</v>
      </c>
      <c r="B25" s="20">
        <v>10197668</v>
      </c>
      <c r="D25" s="3" t="s">
        <v>27</v>
      </c>
      <c r="E25" s="20">
        <v>2</v>
      </c>
      <c r="G25" s="3" t="s">
        <v>13</v>
      </c>
      <c r="H25" s="31">
        <v>13662668</v>
      </c>
      <c r="J25" s="3" t="s">
        <v>13</v>
      </c>
      <c r="K25" s="20">
        <v>13662668</v>
      </c>
      <c r="L25" s="6">
        <f t="shared" si="0"/>
        <v>8.9228104846635375E-2</v>
      </c>
      <c r="M25" s="7">
        <f>M24+L25</f>
        <v>0.84686673835870319</v>
      </c>
      <c r="N25" t="str">
        <f t="shared" si="1"/>
        <v>B</v>
      </c>
      <c r="S25" t="s">
        <v>13</v>
      </c>
      <c r="T25">
        <v>13662668</v>
      </c>
      <c r="U25" s="7">
        <v>0.84686673835870319</v>
      </c>
    </row>
    <row r="26" spans="1:21" x14ac:dyDescent="0.35">
      <c r="A26" s="3" t="s">
        <v>28</v>
      </c>
      <c r="B26" s="20">
        <v>10809151</v>
      </c>
      <c r="D26" s="3" t="s">
        <v>39</v>
      </c>
      <c r="E26" s="20">
        <v>2</v>
      </c>
      <c r="G26" s="3" t="s">
        <v>27</v>
      </c>
      <c r="H26" s="31">
        <v>12712598</v>
      </c>
      <c r="J26" s="3" t="s">
        <v>27</v>
      </c>
      <c r="K26" s="20">
        <v>12712598</v>
      </c>
      <c r="L26" s="6">
        <f t="shared" si="0"/>
        <v>8.3023390981697517E-2</v>
      </c>
      <c r="M26" s="7">
        <f>M25+L26</f>
        <v>0.92989012934040072</v>
      </c>
      <c r="N26" t="str">
        <f t="shared" si="1"/>
        <v>C</v>
      </c>
      <c r="S26" t="s">
        <v>27</v>
      </c>
      <c r="T26">
        <v>12712598</v>
      </c>
      <c r="U26" s="7">
        <v>0.92989012934040072</v>
      </c>
    </row>
    <row r="27" spans="1:21" x14ac:dyDescent="0.35">
      <c r="A27" s="3" t="s">
        <v>57</v>
      </c>
      <c r="B27" s="20">
        <v>16605357</v>
      </c>
      <c r="D27" s="3" t="s">
        <v>43</v>
      </c>
      <c r="E27" s="20">
        <v>1</v>
      </c>
      <c r="G27" s="3" t="s">
        <v>79</v>
      </c>
      <c r="H27" s="31">
        <v>10735271</v>
      </c>
      <c r="J27" s="3" t="s">
        <v>79</v>
      </c>
      <c r="K27" s="20">
        <v>10735271</v>
      </c>
      <c r="L27" s="6">
        <f t="shared" si="0"/>
        <v>7.0109870659599158E-2</v>
      </c>
      <c r="M27" s="7">
        <f>M26+L27</f>
        <v>0.99999999999999989</v>
      </c>
      <c r="N27" t="str">
        <f t="shared" si="1"/>
        <v>C</v>
      </c>
      <c r="S27" t="s">
        <v>79</v>
      </c>
      <c r="T27">
        <v>10735271</v>
      </c>
      <c r="U27" s="7">
        <v>0.99999999999999989</v>
      </c>
    </row>
    <row r="28" spans="1:21" x14ac:dyDescent="0.35">
      <c r="A28" s="3" t="s">
        <v>47</v>
      </c>
      <c r="B28" s="20">
        <v>8736628</v>
      </c>
      <c r="D28" s="3" t="s">
        <v>553</v>
      </c>
      <c r="E28" s="20">
        <v>61</v>
      </c>
      <c r="G28" s="3" t="s">
        <v>553</v>
      </c>
      <c r="H28" s="31">
        <v>153120679</v>
      </c>
      <c r="J28" s="3" t="s">
        <v>553</v>
      </c>
      <c r="K28" s="20">
        <v>153120679</v>
      </c>
      <c r="L28" s="6">
        <f t="shared" si="0"/>
        <v>1</v>
      </c>
      <c r="M28" s="7"/>
      <c r="S28" t="s">
        <v>553</v>
      </c>
      <c r="T28">
        <v>153120679</v>
      </c>
      <c r="U28" s="7"/>
    </row>
    <row r="29" spans="1:21" x14ac:dyDescent="0.35">
      <c r="A29" s="3" t="s">
        <v>15</v>
      </c>
      <c r="B29" s="20">
        <v>16456916</v>
      </c>
    </row>
    <row r="30" spans="1:21" x14ac:dyDescent="0.35">
      <c r="A30" s="3" t="s">
        <v>553</v>
      </c>
      <c r="B30" s="20">
        <v>153120679</v>
      </c>
    </row>
    <row r="31" spans="1:21" x14ac:dyDescent="0.35">
      <c r="G31" s="3" t="s">
        <v>576</v>
      </c>
    </row>
    <row r="32" spans="1:21" x14ac:dyDescent="0.35">
      <c r="D32" s="2" t="s">
        <v>560</v>
      </c>
      <c r="E32" t="s">
        <v>556</v>
      </c>
      <c r="G32" s="2" t="s">
        <v>560</v>
      </c>
      <c r="H32" t="s">
        <v>557</v>
      </c>
    </row>
    <row r="33" spans="1:13" x14ac:dyDescent="0.35">
      <c r="A33" s="2" t="s">
        <v>577</v>
      </c>
      <c r="B33" t="s">
        <v>554</v>
      </c>
      <c r="D33" s="3" t="s">
        <v>46</v>
      </c>
      <c r="E33" s="14">
        <v>17650262</v>
      </c>
      <c r="G33" s="3" t="s">
        <v>43</v>
      </c>
      <c r="H33" s="7">
        <v>0.88863758882949972</v>
      </c>
    </row>
    <row r="34" spans="1:13" x14ac:dyDescent="0.35">
      <c r="A34" s="3" t="s">
        <v>43</v>
      </c>
      <c r="B34" s="7">
        <v>0.97872340425531912</v>
      </c>
      <c r="D34" s="3" t="s">
        <v>18</v>
      </c>
      <c r="E34" s="14">
        <v>17143945</v>
      </c>
      <c r="G34" s="3" t="s">
        <v>27</v>
      </c>
      <c r="H34" s="7">
        <v>0.87919470850957127</v>
      </c>
    </row>
    <row r="35" spans="1:13" x14ac:dyDescent="0.35">
      <c r="A35" s="3" t="s">
        <v>39</v>
      </c>
      <c r="B35" s="7">
        <v>0.95918367346938771</v>
      </c>
      <c r="D35" s="3" t="s">
        <v>43</v>
      </c>
      <c r="E35" s="14">
        <v>17079564</v>
      </c>
      <c r="G35" s="3" t="s">
        <v>39</v>
      </c>
      <c r="H35" s="7">
        <v>0.87704247600186858</v>
      </c>
    </row>
    <row r="36" spans="1:13" x14ac:dyDescent="0.35">
      <c r="A36" s="3" t="s">
        <v>27</v>
      </c>
      <c r="B36" s="7">
        <v>0.95238095238095233</v>
      </c>
      <c r="D36" s="3" t="s">
        <v>60</v>
      </c>
      <c r="E36" s="14">
        <v>16822670</v>
      </c>
      <c r="G36" s="3" t="s">
        <v>18</v>
      </c>
      <c r="H36" s="7">
        <v>0.85802545440193301</v>
      </c>
    </row>
    <row r="37" spans="1:13" x14ac:dyDescent="0.35">
      <c r="A37" s="3" t="s">
        <v>18</v>
      </c>
      <c r="B37" s="7">
        <v>0.92982456140350878</v>
      </c>
      <c r="D37" s="3" t="s">
        <v>39</v>
      </c>
      <c r="E37" s="14">
        <v>16584907</v>
      </c>
      <c r="G37" s="3" t="s">
        <v>60</v>
      </c>
      <c r="H37" s="7">
        <v>0.84137420489695713</v>
      </c>
    </row>
    <row r="38" spans="1:13" x14ac:dyDescent="0.35">
      <c r="A38" s="3" t="s">
        <v>60</v>
      </c>
      <c r="B38" s="7">
        <v>0.89830508474576276</v>
      </c>
      <c r="D38" s="3" t="s">
        <v>23</v>
      </c>
      <c r="E38" s="14">
        <v>15824235</v>
      </c>
      <c r="G38" s="3" t="s">
        <v>31</v>
      </c>
      <c r="H38" s="7">
        <v>0.8395226252091138</v>
      </c>
    </row>
    <row r="39" spans="1:13" x14ac:dyDescent="0.35">
      <c r="A39" s="3" t="s">
        <v>46</v>
      </c>
      <c r="B39" s="7">
        <v>0.89655172413793105</v>
      </c>
      <c r="D39" s="3" t="s">
        <v>31</v>
      </c>
      <c r="E39" s="14">
        <v>14904559</v>
      </c>
      <c r="G39" s="3" t="s">
        <v>46</v>
      </c>
      <c r="H39" s="7">
        <v>0.83269458056157974</v>
      </c>
    </row>
    <row r="40" spans="1:13" x14ac:dyDescent="0.35">
      <c r="A40" s="3" t="s">
        <v>31</v>
      </c>
      <c r="B40" s="7">
        <v>0.88095238095238093</v>
      </c>
      <c r="D40" s="3" t="s">
        <v>13</v>
      </c>
      <c r="E40" s="14">
        <v>13662668</v>
      </c>
      <c r="G40" s="3" t="s">
        <v>79</v>
      </c>
      <c r="H40" s="7">
        <v>0.83200832941753355</v>
      </c>
    </row>
    <row r="41" spans="1:13" x14ac:dyDescent="0.35">
      <c r="A41" s="3" t="s">
        <v>79</v>
      </c>
      <c r="B41" s="7">
        <v>0.8571428571428571</v>
      </c>
      <c r="D41" s="3" t="s">
        <v>27</v>
      </c>
      <c r="E41" s="14">
        <v>12712598</v>
      </c>
      <c r="G41" s="3" t="s">
        <v>23</v>
      </c>
      <c r="H41" s="7">
        <v>0.79445123502116366</v>
      </c>
    </row>
    <row r="42" spans="1:13" x14ac:dyDescent="0.35">
      <c r="A42" s="3" t="s">
        <v>23</v>
      </c>
      <c r="B42" s="7">
        <v>0.7857142857142857</v>
      </c>
      <c r="D42" s="3" t="s">
        <v>79</v>
      </c>
      <c r="E42" s="14">
        <v>10735271</v>
      </c>
      <c r="G42" s="3" t="s">
        <v>13</v>
      </c>
      <c r="H42" s="7">
        <v>0.723579968130457</v>
      </c>
    </row>
    <row r="43" spans="1:13" x14ac:dyDescent="0.35">
      <c r="A43" s="3" t="s">
        <v>13</v>
      </c>
      <c r="B43" s="7">
        <v>0.64583333333333337</v>
      </c>
      <c r="D43" s="3" t="s">
        <v>553</v>
      </c>
      <c r="E43" s="14">
        <v>153120679</v>
      </c>
      <c r="G43" s="3" t="s">
        <v>553</v>
      </c>
      <c r="H43" s="7">
        <v>0.83587489628929768</v>
      </c>
    </row>
    <row r="44" spans="1:13" x14ac:dyDescent="0.35">
      <c r="A44" s="3" t="s">
        <v>553</v>
      </c>
      <c r="B44" s="7">
        <v>0.878</v>
      </c>
    </row>
    <row r="46" spans="1:13" x14ac:dyDescent="0.35">
      <c r="E46" s="2" t="s">
        <v>577</v>
      </c>
      <c r="F46" t="s">
        <v>554</v>
      </c>
      <c r="G46" t="s">
        <v>555</v>
      </c>
      <c r="I46" t="s">
        <v>577</v>
      </c>
      <c r="J46" t="s">
        <v>554</v>
      </c>
      <c r="K46" t="s">
        <v>555</v>
      </c>
      <c r="L46" s="42" t="s">
        <v>593</v>
      </c>
      <c r="M46" s="42" t="s">
        <v>594</v>
      </c>
    </row>
    <row r="47" spans="1:13" x14ac:dyDescent="0.35">
      <c r="E47" s="3" t="s">
        <v>43</v>
      </c>
      <c r="F47" s="7">
        <v>0.97872340425531912</v>
      </c>
      <c r="G47" s="7">
        <v>0.98814565584689218</v>
      </c>
      <c r="I47" t="s">
        <v>43</v>
      </c>
      <c r="J47" s="41">
        <v>0.97872340425531912</v>
      </c>
      <c r="K47" s="41">
        <v>0.98814565584689218</v>
      </c>
      <c r="L47" s="43">
        <v>0.88</v>
      </c>
      <c r="M47" s="43">
        <v>0.85</v>
      </c>
    </row>
    <row r="48" spans="1:13" x14ac:dyDescent="0.35">
      <c r="E48" s="3" t="s">
        <v>39</v>
      </c>
      <c r="F48" s="7">
        <v>0.95918367346938771</v>
      </c>
      <c r="G48" s="7">
        <v>0.97841745107356104</v>
      </c>
      <c r="I48" t="s">
        <v>39</v>
      </c>
      <c r="J48" s="41">
        <v>0.95918367346938771</v>
      </c>
      <c r="K48" s="41">
        <v>0.97841745107356104</v>
      </c>
      <c r="L48" s="43">
        <v>0.88</v>
      </c>
      <c r="M48" s="43">
        <v>1</v>
      </c>
    </row>
    <row r="49" spans="5:13" x14ac:dyDescent="0.35">
      <c r="E49" s="3" t="s">
        <v>27</v>
      </c>
      <c r="F49" s="7">
        <v>0.95238095238095233</v>
      </c>
      <c r="G49" s="7">
        <v>0.98703947003178816</v>
      </c>
      <c r="I49" t="s">
        <v>27</v>
      </c>
      <c r="J49" s="41">
        <v>0.95238095238095233</v>
      </c>
      <c r="K49" s="41">
        <v>0.98703947003178816</v>
      </c>
      <c r="L49" s="42" t="s">
        <v>595</v>
      </c>
      <c r="M49" s="42" t="s">
        <v>596</v>
      </c>
    </row>
    <row r="50" spans="5:13" x14ac:dyDescent="0.35">
      <c r="E50" s="3" t="s">
        <v>18</v>
      </c>
      <c r="F50" s="7">
        <v>0.92982456140350878</v>
      </c>
      <c r="G50" s="7">
        <v>0.95726241049440819</v>
      </c>
      <c r="I50" t="s">
        <v>18</v>
      </c>
      <c r="J50" s="41">
        <v>0.92982456140350878</v>
      </c>
      <c r="K50" s="41">
        <v>0.95726241049440819</v>
      </c>
      <c r="L50" s="43">
        <v>0.6</v>
      </c>
      <c r="M50" s="43">
        <v>0.95</v>
      </c>
    </row>
    <row r="51" spans="5:13" x14ac:dyDescent="0.35">
      <c r="E51" s="3" t="s">
        <v>60</v>
      </c>
      <c r="F51" s="7">
        <v>0.89830508474576276</v>
      </c>
      <c r="G51" s="7">
        <v>0.93784884761068321</v>
      </c>
      <c r="I51" t="s">
        <v>60</v>
      </c>
      <c r="J51" s="41">
        <v>0.89830508474576276</v>
      </c>
      <c r="K51" s="41">
        <v>0.93784884761068321</v>
      </c>
      <c r="L51" s="43">
        <v>1</v>
      </c>
      <c r="M51" s="43">
        <v>0.95</v>
      </c>
    </row>
    <row r="52" spans="5:13" x14ac:dyDescent="0.35">
      <c r="E52" s="3" t="s">
        <v>46</v>
      </c>
      <c r="F52" s="7">
        <v>0.89655172413793105</v>
      </c>
      <c r="G52" s="7">
        <v>0.90815693933449537</v>
      </c>
      <c r="I52" t="s">
        <v>46</v>
      </c>
      <c r="J52" s="41">
        <v>0.89655172413793105</v>
      </c>
      <c r="K52" s="41">
        <v>0.90815693933449537</v>
      </c>
    </row>
    <row r="53" spans="5:13" x14ac:dyDescent="0.35">
      <c r="E53" s="3" t="s">
        <v>31</v>
      </c>
      <c r="F53" s="7">
        <v>0.88095238095238093</v>
      </c>
      <c r="G53" s="7">
        <v>0.96800494442260154</v>
      </c>
      <c r="I53" t="s">
        <v>31</v>
      </c>
      <c r="J53" s="41">
        <v>0.88095238095238093</v>
      </c>
      <c r="K53" s="41">
        <v>0.96800494442260154</v>
      </c>
    </row>
    <row r="54" spans="5:13" x14ac:dyDescent="0.35">
      <c r="E54" s="3" t="s">
        <v>79</v>
      </c>
      <c r="F54" s="7">
        <v>0.8571428571428571</v>
      </c>
      <c r="G54" s="7">
        <v>0.94802116212337662</v>
      </c>
      <c r="I54" t="s">
        <v>79</v>
      </c>
      <c r="J54" s="41">
        <v>0.8571428571428571</v>
      </c>
      <c r="K54" s="41">
        <v>0.94802116212337662</v>
      </c>
    </row>
    <row r="55" spans="5:13" x14ac:dyDescent="0.35">
      <c r="E55" s="3" t="s">
        <v>23</v>
      </c>
      <c r="F55" s="7">
        <v>0.7857142857142857</v>
      </c>
      <c r="G55" s="7">
        <v>0.92805106263770398</v>
      </c>
      <c r="I55" t="s">
        <v>23</v>
      </c>
      <c r="J55" s="41">
        <v>0.7857142857142857</v>
      </c>
      <c r="K55" s="41">
        <v>0.92805106263770398</v>
      </c>
    </row>
    <row r="56" spans="5:13" x14ac:dyDescent="0.35">
      <c r="E56" s="3" t="s">
        <v>13</v>
      </c>
      <c r="F56" s="7">
        <v>0.64583333333333337</v>
      </c>
      <c r="G56" s="7">
        <v>0.87861385004909887</v>
      </c>
      <c r="I56" t="s">
        <v>13</v>
      </c>
      <c r="J56" s="41">
        <v>0.64583333333333337</v>
      </c>
      <c r="K56" s="41">
        <v>0.87861385004909887</v>
      </c>
    </row>
    <row r="57" spans="5:13" x14ac:dyDescent="0.35">
      <c r="E57" s="3" t="s">
        <v>553</v>
      </c>
      <c r="F57" s="7">
        <v>0.878</v>
      </c>
      <c r="G57" s="7">
        <v>0.94605704268470947</v>
      </c>
      <c r="I57" t="s">
        <v>553</v>
      </c>
      <c r="J57" s="41">
        <v>0.878</v>
      </c>
      <c r="K57" s="41">
        <v>0.94605704268470947</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FAD1-44D1-41BE-B3CA-1553DDA63D6F}">
  <dimension ref="A1:T20"/>
  <sheetViews>
    <sheetView showGridLines="0" tabSelected="1" zoomScale="50" zoomScaleNormal="50" workbookViewId="0">
      <selection activeCell="L8" sqref="L8"/>
    </sheetView>
  </sheetViews>
  <sheetFormatPr defaultRowHeight="14.5" x14ac:dyDescent="0.35"/>
  <cols>
    <col min="5" max="5" width="9.81640625" bestFit="1" customWidth="1"/>
    <col min="13" max="13" width="24.08984375" customWidth="1"/>
    <col min="14" max="14" width="29.90625" customWidth="1"/>
    <col min="19" max="19" width="8.7265625" customWidth="1"/>
  </cols>
  <sheetData>
    <row r="1" spans="1:20" ht="32.5" x14ac:dyDescent="0.75">
      <c r="J1" s="45" t="s">
        <v>598</v>
      </c>
      <c r="K1" s="45"/>
      <c r="L1" s="45"/>
      <c r="M1" s="45"/>
      <c r="N1" s="45"/>
      <c r="O1" s="45"/>
      <c r="P1" s="45"/>
      <c r="Q1" s="45"/>
      <c r="R1" s="45"/>
      <c r="S1" s="45"/>
    </row>
    <row r="2" spans="1:20" ht="32.5" x14ac:dyDescent="0.75">
      <c r="J2" s="46" t="s">
        <v>599</v>
      </c>
      <c r="K2" s="46"/>
      <c r="L2" s="46"/>
      <c r="M2" s="46"/>
      <c r="N2" s="46"/>
      <c r="O2" s="46"/>
      <c r="P2" s="46"/>
      <c r="Q2" s="46"/>
      <c r="R2" s="46"/>
      <c r="S2" s="46"/>
      <c r="T2" s="49"/>
    </row>
    <row r="4" spans="1:20" x14ac:dyDescent="0.35">
      <c r="A4" s="29" t="s">
        <v>578</v>
      </c>
      <c r="B4" s="29"/>
      <c r="C4" s="29"/>
      <c r="D4" s="4"/>
      <c r="E4" s="29" t="s">
        <v>579</v>
      </c>
      <c r="F4" s="29"/>
      <c r="G4" s="29"/>
      <c r="H4" s="4"/>
      <c r="I4" s="29" t="s">
        <v>580</v>
      </c>
      <c r="J4" s="29"/>
      <c r="K4" s="29"/>
      <c r="L4" s="30"/>
      <c r="M4" s="29" t="s">
        <v>581</v>
      </c>
      <c r="N4" s="29"/>
      <c r="O4" s="27"/>
      <c r="P4" s="29" t="s">
        <v>582</v>
      </c>
      <c r="Q4" s="29"/>
      <c r="R4" s="29"/>
    </row>
    <row r="5" spans="1:20" x14ac:dyDescent="0.35">
      <c r="A5" s="29"/>
      <c r="B5" s="29"/>
      <c r="C5" s="29"/>
      <c r="D5" s="4"/>
      <c r="E5" s="29"/>
      <c r="F5" s="29"/>
      <c r="G5" s="29"/>
      <c r="H5" s="4"/>
      <c r="I5" s="29"/>
      <c r="J5" s="29"/>
      <c r="K5" s="29"/>
      <c r="L5" s="30"/>
      <c r="M5" s="29"/>
      <c r="N5" s="29"/>
      <c r="O5" s="27"/>
      <c r="P5" s="29"/>
      <c r="Q5" s="29"/>
      <c r="R5" s="29"/>
    </row>
    <row r="6" spans="1:20" x14ac:dyDescent="0.35">
      <c r="A6" s="23">
        <f>COUNTA('PIVOT TABLE'!A5:A14)</f>
        <v>10</v>
      </c>
      <c r="B6" s="23"/>
      <c r="C6" s="23"/>
      <c r="D6" s="4"/>
      <c r="E6" s="44">
        <f>SUM('PIVOT TABLE'!E33:E42)</f>
        <v>153120679</v>
      </c>
      <c r="F6" s="44"/>
      <c r="G6" s="44"/>
      <c r="H6" s="4"/>
      <c r="I6" s="24">
        <f>AVERAGE('PIVOT TABLE'!B34:B43)</f>
        <v>0.87846122575357199</v>
      </c>
      <c r="J6" s="23"/>
      <c r="K6" s="23"/>
      <c r="L6" s="25"/>
      <c r="M6" s="26" t="str">
        <f>INDEX('PIVOT TABLE'!A4:A13,MATCH(MAX('PIVOT TABLE'!B4:B13),'PIVOT TABLE'!B4:B13,0))</f>
        <v>Vertex Solutions</v>
      </c>
      <c r="N6" s="26"/>
      <c r="O6" s="27"/>
      <c r="P6" s="28">
        <f>MAX('PIVOT TABLE'!B4:B13,'PIVOT TABLE'!B4:B13,0)</f>
        <v>0.97872340425531912</v>
      </c>
      <c r="Q6" s="26"/>
      <c r="R6" s="26"/>
    </row>
    <row r="7" spans="1:20" ht="15" thickBot="1" x14ac:dyDescent="0.4"/>
    <row r="8" spans="1:20" ht="15" thickBot="1" x14ac:dyDescent="0.4">
      <c r="M8" s="47" t="s">
        <v>597</v>
      </c>
      <c r="N8" s="48"/>
    </row>
    <row r="9" spans="1:20" x14ac:dyDescent="0.35">
      <c r="M9" s="38" t="s">
        <v>2</v>
      </c>
      <c r="N9" s="33" t="str">
        <f>'PIVOT TABLE'!J4</f>
        <v>Alpha Electronics</v>
      </c>
    </row>
    <row r="10" spans="1:20" x14ac:dyDescent="0.35">
      <c r="M10" s="39" t="s">
        <v>583</v>
      </c>
      <c r="N10" s="34">
        <f>'PIVOT TABLE'!M4</f>
        <v>12712598</v>
      </c>
    </row>
    <row r="11" spans="1:20" x14ac:dyDescent="0.35">
      <c r="M11" s="39" t="s">
        <v>548</v>
      </c>
      <c r="N11" s="35">
        <f>'PIVOT TABLE'!O4</f>
        <v>2</v>
      </c>
    </row>
    <row r="12" spans="1:20" x14ac:dyDescent="0.35">
      <c r="M12" s="39" t="s">
        <v>550</v>
      </c>
      <c r="N12" s="36">
        <f>'PIVOT TABLE'!L4</f>
        <v>0.98703947003178816</v>
      </c>
    </row>
    <row r="13" spans="1:20" x14ac:dyDescent="0.35">
      <c r="M13" s="39" t="s">
        <v>549</v>
      </c>
      <c r="N13" s="36">
        <f>'PIVOT TABLE'!K4</f>
        <v>0.96161988843220503</v>
      </c>
    </row>
    <row r="14" spans="1:20" ht="15" thickBot="1" x14ac:dyDescent="0.4">
      <c r="M14" s="40" t="s">
        <v>552</v>
      </c>
      <c r="N14" s="37">
        <f>'PIVOT TABLE'!N4</f>
        <v>0.87919470850957127</v>
      </c>
    </row>
    <row r="16" spans="1:20" x14ac:dyDescent="0.35">
      <c r="M16" s="22"/>
      <c r="N16" s="22"/>
    </row>
    <row r="17" spans="13:14" x14ac:dyDescent="0.35">
      <c r="M17" s="22"/>
      <c r="N17" s="22"/>
    </row>
    <row r="18" spans="13:14" x14ac:dyDescent="0.35">
      <c r="M18" s="22"/>
      <c r="N18" s="22"/>
    </row>
    <row r="19" spans="13:14" x14ac:dyDescent="0.35">
      <c r="M19" s="21"/>
      <c r="N19" s="21"/>
    </row>
    <row r="20" spans="13:14" x14ac:dyDescent="0.35">
      <c r="M20" s="21"/>
      <c r="N20" s="21"/>
    </row>
  </sheetData>
  <mergeCells count="18">
    <mergeCell ref="M4:N5"/>
    <mergeCell ref="M6:N6"/>
    <mergeCell ref="J1:S1"/>
    <mergeCell ref="J2:S2"/>
    <mergeCell ref="P4:R5"/>
    <mergeCell ref="P6:R6"/>
    <mergeCell ref="M16:N16"/>
    <mergeCell ref="M17:N17"/>
    <mergeCell ref="M18:N18"/>
    <mergeCell ref="M19:N19"/>
    <mergeCell ref="M20:N20"/>
    <mergeCell ref="M8:N8"/>
    <mergeCell ref="I4:K5"/>
    <mergeCell ref="I6:K6"/>
    <mergeCell ref="A4:C5"/>
    <mergeCell ref="A6:C6"/>
    <mergeCell ref="E4:G5"/>
    <mergeCell ref="E6:G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091B8-B1D5-4A15-9FF2-5F46224590F5}">
  <dimension ref="B2:S6"/>
  <sheetViews>
    <sheetView zoomScale="58" zoomScaleNormal="58" workbookViewId="0">
      <selection activeCell="X1" sqref="X1"/>
    </sheetView>
  </sheetViews>
  <sheetFormatPr defaultRowHeight="14.5" x14ac:dyDescent="0.35"/>
  <cols>
    <col min="1" max="1" width="7.08984375" customWidth="1"/>
    <col min="2" max="2" width="11.453125" customWidth="1"/>
    <col min="3" max="3" width="18.1796875" customWidth="1"/>
    <col min="4" max="4" width="3.36328125" customWidth="1"/>
    <col min="7" max="7" width="11.453125" customWidth="1"/>
    <col min="8" max="8" width="5.7265625" customWidth="1"/>
    <col min="11" max="11" width="10.81640625" customWidth="1"/>
    <col min="12" max="12" width="3.7265625" customWidth="1"/>
    <col min="15" max="15" width="4.1796875" customWidth="1"/>
    <col min="16" max="16" width="3.7265625" customWidth="1"/>
    <col min="18" max="18" width="12.81640625" customWidth="1"/>
  </cols>
  <sheetData>
    <row r="2" spans="2:19" ht="17.5" x14ac:dyDescent="0.35">
      <c r="B2" s="17" t="s">
        <v>574</v>
      </c>
      <c r="C2" s="17"/>
      <c r="D2" s="11"/>
      <c r="E2" s="15" t="s">
        <v>573</v>
      </c>
      <c r="F2" s="15"/>
      <c r="G2" s="15"/>
      <c r="H2" s="11"/>
      <c r="I2" s="15" t="s">
        <v>570</v>
      </c>
      <c r="J2" s="15"/>
      <c r="K2" s="15"/>
      <c r="L2" s="11"/>
      <c r="M2" s="15" t="s">
        <v>571</v>
      </c>
      <c r="N2" s="15"/>
      <c r="O2" s="15"/>
      <c r="P2" s="11"/>
      <c r="Q2" s="15" t="s">
        <v>572</v>
      </c>
      <c r="R2" s="15"/>
    </row>
    <row r="3" spans="2:19" ht="17.5" x14ac:dyDescent="0.35">
      <c r="B3" s="17"/>
      <c r="C3" s="17"/>
      <c r="D3" s="11"/>
      <c r="E3" s="15"/>
      <c r="F3" s="15"/>
      <c r="G3" s="15"/>
      <c r="H3" s="11"/>
      <c r="I3" s="15"/>
      <c r="J3" s="15"/>
      <c r="K3" s="15"/>
      <c r="L3" s="11"/>
      <c r="M3" s="15"/>
      <c r="N3" s="15"/>
      <c r="O3" s="15"/>
      <c r="P3" s="11"/>
      <c r="Q3" s="15"/>
      <c r="R3" s="15"/>
    </row>
    <row r="4" spans="2:19" ht="17.5" x14ac:dyDescent="0.35">
      <c r="B4" s="17"/>
      <c r="C4" s="17"/>
      <c r="D4" s="11"/>
      <c r="E4" s="15"/>
      <c r="F4" s="15"/>
      <c r="G4" s="15"/>
      <c r="H4" s="11"/>
      <c r="I4" s="15"/>
      <c r="J4" s="15"/>
      <c r="K4" s="15"/>
      <c r="L4" s="11"/>
      <c r="M4" s="15"/>
      <c r="N4" s="15"/>
      <c r="O4" s="15"/>
      <c r="P4" s="11"/>
      <c r="Q4" s="15"/>
      <c r="R4" s="15"/>
    </row>
    <row r="5" spans="2:19" ht="17.5" x14ac:dyDescent="0.35">
      <c r="B5" s="17"/>
      <c r="C5" s="17"/>
      <c r="D5" s="11"/>
      <c r="E5" s="15"/>
      <c r="F5" s="15"/>
      <c r="G5" s="15"/>
      <c r="H5" s="11"/>
      <c r="I5" s="15"/>
      <c r="J5" s="15"/>
      <c r="K5" s="15"/>
      <c r="L5" s="11"/>
      <c r="M5" s="15"/>
      <c r="N5" s="15"/>
      <c r="O5" s="15"/>
      <c r="P5" s="11"/>
      <c r="Q5" s="15"/>
      <c r="R5" s="15"/>
    </row>
    <row r="6" spans="2:19" ht="58" customHeight="1" x14ac:dyDescent="0.85">
      <c r="B6" s="18">
        <f>COUNTA('PIVOT TABLE'!A4:A13)</f>
        <v>10</v>
      </c>
      <c r="C6" s="18"/>
      <c r="D6" s="12"/>
      <c r="E6" s="18">
        <f>SUM('PIVOT TABLE'!B18:B29)</f>
        <v>153120679</v>
      </c>
      <c r="F6" s="18"/>
      <c r="G6" s="18"/>
      <c r="H6" s="12"/>
      <c r="I6" s="19" t="str">
        <f>'PIVOT TABLE'!A2</f>
        <v>Vertex Solutions</v>
      </c>
      <c r="J6" s="19"/>
      <c r="K6" s="19"/>
      <c r="L6" s="12"/>
      <c r="M6" s="16">
        <f>'PIVOT TABLE'!B2</f>
        <v>0.97872340425531912</v>
      </c>
      <c r="N6" s="16"/>
      <c r="O6" s="16"/>
      <c r="P6" s="12"/>
      <c r="Q6" s="16">
        <f>AVERAGE('PIVOT TABLE'!B4:B13)</f>
        <v>0.87846122575357199</v>
      </c>
      <c r="R6" s="16"/>
      <c r="S6" s="10"/>
    </row>
  </sheetData>
  <mergeCells count="10">
    <mergeCell ref="M2:O5"/>
    <mergeCell ref="M6:O6"/>
    <mergeCell ref="Q2:R5"/>
    <mergeCell ref="Q6:R6"/>
    <mergeCell ref="B2:C5"/>
    <mergeCell ref="E2:G5"/>
    <mergeCell ref="I2:K5"/>
    <mergeCell ref="B6:C6"/>
    <mergeCell ref="E6:G6"/>
    <mergeCell ref="I6:K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16DBB-8178-4FCC-948C-D15B82B52D0D}">
  <dimension ref="A1"/>
  <sheetViews>
    <sheetView workbookViewId="0">
      <selection activeCell="A3" sqref="A3"/>
    </sheetView>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7D974-59BF-434A-9526-541452ACD478}">
  <dimension ref="A1:V501"/>
  <sheetViews>
    <sheetView topLeftCell="A2" workbookViewId="0">
      <selection sqref="A1:U501"/>
    </sheetView>
  </sheetViews>
  <sheetFormatPr defaultRowHeight="14.5" x14ac:dyDescent="0.35"/>
  <cols>
    <col min="1" max="1" width="12.26953125" customWidth="1"/>
    <col min="2" max="2" width="10.90625" customWidth="1"/>
    <col min="3" max="3" width="14" customWidth="1"/>
    <col min="4" max="4" width="10.1796875" customWidth="1"/>
    <col min="6" max="6" width="10.6328125" customWidth="1"/>
    <col min="7" max="7" width="13.7265625" customWidth="1"/>
    <col min="8" max="8" width="14" customWidth="1"/>
    <col min="9" max="9" width="19.26953125" customWidth="1"/>
    <col min="10" max="10" width="11.54296875" customWidth="1"/>
    <col min="11" max="11" width="11" customWidth="1"/>
    <col min="12" max="12" width="14.7265625" customWidth="1"/>
    <col min="14" max="14" width="9.6328125" customWidth="1"/>
    <col min="15" max="15" width="13" customWidth="1"/>
    <col min="16" max="16" width="12.54296875" customWidth="1"/>
  </cols>
  <sheetData>
    <row r="1" spans="1:22" x14ac:dyDescent="0.35">
      <c r="A1" t="s">
        <v>0</v>
      </c>
      <c r="B1" t="s">
        <v>1</v>
      </c>
      <c r="C1" t="s">
        <v>2</v>
      </c>
      <c r="D1" t="s">
        <v>3</v>
      </c>
      <c r="E1" t="s">
        <v>4</v>
      </c>
      <c r="F1" t="s">
        <v>5</v>
      </c>
      <c r="G1" t="s">
        <v>6</v>
      </c>
      <c r="H1" t="s">
        <v>7</v>
      </c>
      <c r="I1" t="s">
        <v>8</v>
      </c>
      <c r="J1" t="s">
        <v>9</v>
      </c>
      <c r="K1" t="s">
        <v>10</v>
      </c>
      <c r="L1" t="s">
        <v>547</v>
      </c>
      <c r="M1" t="s">
        <v>548</v>
      </c>
      <c r="N1" t="s">
        <v>549</v>
      </c>
      <c r="O1" t="s">
        <v>550</v>
      </c>
      <c r="P1" t="s">
        <v>551</v>
      </c>
      <c r="Q1" t="s">
        <v>564</v>
      </c>
      <c r="R1" t="s">
        <v>566</v>
      </c>
      <c r="S1" t="s">
        <v>552</v>
      </c>
      <c r="T1" t="s">
        <v>565</v>
      </c>
      <c r="U1" t="s">
        <v>569</v>
      </c>
      <c r="V1" t="s">
        <v>585</v>
      </c>
    </row>
    <row r="2" spans="1:22" x14ac:dyDescent="0.35">
      <c r="A2" t="s">
        <v>503</v>
      </c>
      <c r="B2" t="s">
        <v>42</v>
      </c>
      <c r="C2" t="s">
        <v>43</v>
      </c>
      <c r="D2" t="s">
        <v>14</v>
      </c>
      <c r="E2" t="s">
        <v>15</v>
      </c>
      <c r="F2">
        <v>750</v>
      </c>
      <c r="G2">
        <v>711</v>
      </c>
      <c r="H2" s="1">
        <v>46380</v>
      </c>
      <c r="I2" s="1">
        <v>46378</v>
      </c>
      <c r="J2">
        <v>13</v>
      </c>
      <c r="K2">
        <v>6</v>
      </c>
      <c r="L2">
        <f t="shared" ref="L2:L65" si="0">I2-H2</f>
        <v>-2</v>
      </c>
      <c r="M2" s="6">
        <f t="shared" ref="M2:M65" si="1">IF(L2&lt;=0,1,0)</f>
        <v>1</v>
      </c>
      <c r="N2" s="6">
        <f t="shared" ref="N2:N65" si="2">G2/F2</f>
        <v>0.94799999999999995</v>
      </c>
      <c r="O2" s="6">
        <f t="shared" ref="O2:O65" si="3">(G2-J2)/G2</f>
        <v>0.98171589310829821</v>
      </c>
      <c r="P2">
        <f t="shared" ref="P2:P65" si="4">G2*K2</f>
        <v>4266</v>
      </c>
      <c r="Q2" s="6">
        <f>MIN(Table1[Unit Price])/Table1[[#This Row],[Unit Price]]</f>
        <v>0.83333333333333337</v>
      </c>
      <c r="R2" s="8">
        <f>IF(Table1[[#This Row],[Delivery Delay]]&gt;0,1,0)</f>
        <v>0</v>
      </c>
      <c r="S2" s="6">
        <f>(Table1[[#This Row],[OTD]]*0.4)+(Table1[[#This Row],[Quality Rate]]*0.3)+(Table1[[#This Row],[Fill Rate]]*0.2)+(Table1[[#This Row],[Cost Score]]*0.1)</f>
        <v>0.96744810126582281</v>
      </c>
      <c r="T2">
        <f>MAX(Table1[OTD])</f>
        <v>1</v>
      </c>
      <c r="U2" t="str">
        <f>IF(Table1[[#This Row],[Vendor Score]]&gt;=90%,"Excellent",IF(Table1[[#This Row],[Vendor Score]]&gt;=75%,"Moderate","Poor"))</f>
        <v>Excellent</v>
      </c>
    </row>
    <row r="3" spans="1:22" x14ac:dyDescent="0.35">
      <c r="A3" t="s">
        <v>522</v>
      </c>
      <c r="B3" t="s">
        <v>45</v>
      </c>
      <c r="C3" t="s">
        <v>46</v>
      </c>
      <c r="D3" t="s">
        <v>55</v>
      </c>
      <c r="E3" t="s">
        <v>20</v>
      </c>
      <c r="F3">
        <v>389</v>
      </c>
      <c r="G3">
        <v>382</v>
      </c>
      <c r="H3" s="1">
        <v>46215</v>
      </c>
      <c r="I3" s="1">
        <v>46215</v>
      </c>
      <c r="J3">
        <v>38</v>
      </c>
      <c r="K3">
        <v>5</v>
      </c>
      <c r="L3">
        <f t="shared" si="0"/>
        <v>0</v>
      </c>
      <c r="M3" s="6">
        <f t="shared" si="1"/>
        <v>1</v>
      </c>
      <c r="N3" s="6">
        <f t="shared" si="2"/>
        <v>0.98200514138817485</v>
      </c>
      <c r="O3" s="6">
        <f t="shared" si="3"/>
        <v>0.90052356020942403</v>
      </c>
      <c r="P3">
        <f t="shared" si="4"/>
        <v>1910</v>
      </c>
      <c r="Q3" s="6">
        <f>MIN(Table1[Unit Price])/Table1[[#This Row],[Unit Price]]</f>
        <v>1</v>
      </c>
      <c r="R3" s="8">
        <f>IF(Table1[[#This Row],[Delivery Delay]]&gt;0,1,0)</f>
        <v>0</v>
      </c>
      <c r="S3" s="6">
        <f>(Table1[[#This Row],[OTD]]*0.4)+(Table1[[#This Row],[Quality Rate]]*0.3)+(Table1[[#This Row],[Fill Rate]]*0.2)+(Table1[[#This Row],[Cost Score]]*0.1)</f>
        <v>0.96655809634046219</v>
      </c>
      <c r="T3">
        <f>MAX(Table1[OTD])</f>
        <v>1</v>
      </c>
      <c r="U3" t="str">
        <f>IF(Table1[[#This Row],[Vendor Score]]&gt;=90%,"Excellent",IF(Table1[[#This Row],[Vendor Score]]&gt;=75%,"Moderate","Poor"))</f>
        <v>Excellent</v>
      </c>
    </row>
    <row r="4" spans="1:22" x14ac:dyDescent="0.35">
      <c r="A4" t="s">
        <v>284</v>
      </c>
      <c r="B4" t="s">
        <v>26</v>
      </c>
      <c r="C4" t="s">
        <v>27</v>
      </c>
      <c r="D4" t="s">
        <v>55</v>
      </c>
      <c r="E4" t="s">
        <v>24</v>
      </c>
      <c r="F4">
        <v>3055</v>
      </c>
      <c r="G4">
        <v>2979</v>
      </c>
      <c r="H4" s="1">
        <v>46162</v>
      </c>
      <c r="I4" s="1">
        <v>46161</v>
      </c>
      <c r="J4">
        <v>35</v>
      </c>
      <c r="K4">
        <v>7</v>
      </c>
      <c r="L4">
        <f t="shared" si="0"/>
        <v>-1</v>
      </c>
      <c r="M4" s="6">
        <f t="shared" si="1"/>
        <v>1</v>
      </c>
      <c r="N4" s="6">
        <f t="shared" si="2"/>
        <v>0.97512274959083467</v>
      </c>
      <c r="O4" s="6">
        <f t="shared" si="3"/>
        <v>0.9882510909701242</v>
      </c>
      <c r="P4">
        <f t="shared" si="4"/>
        <v>20853</v>
      </c>
      <c r="Q4" s="6">
        <f>MIN(Table1[Unit Price])/Table1[[#This Row],[Unit Price]]</f>
        <v>0.7142857142857143</v>
      </c>
      <c r="R4" s="8">
        <f>IF(Table1[[#This Row],[Delivery Delay]]&gt;0,1,0)</f>
        <v>0</v>
      </c>
      <c r="S4" s="6">
        <f>(Table1[[#This Row],[OTD]]*0.4)+(Table1[[#This Row],[Quality Rate]]*0.3)+(Table1[[#This Row],[Fill Rate]]*0.2)+(Table1[[#This Row],[Cost Score]]*0.1)</f>
        <v>0.96292844863777571</v>
      </c>
      <c r="T4">
        <f>MAX(Table1[OTD])</f>
        <v>1</v>
      </c>
      <c r="U4" t="str">
        <f>IF(Table1[[#This Row],[Vendor Score]]&gt;=90%,"Excellent",IF(Table1[[#This Row],[Vendor Score]]&gt;=75%,"Moderate","Poor"))</f>
        <v>Excellent</v>
      </c>
    </row>
    <row r="5" spans="1:22" x14ac:dyDescent="0.35">
      <c r="A5" t="s">
        <v>242</v>
      </c>
      <c r="B5" t="s">
        <v>38</v>
      </c>
      <c r="C5" t="s">
        <v>39</v>
      </c>
      <c r="D5" t="s">
        <v>19</v>
      </c>
      <c r="E5" t="s">
        <v>70</v>
      </c>
      <c r="F5">
        <v>1614</v>
      </c>
      <c r="G5">
        <v>1546</v>
      </c>
      <c r="H5" s="1">
        <v>46032</v>
      </c>
      <c r="I5" s="1">
        <v>46031</v>
      </c>
      <c r="J5">
        <v>31</v>
      </c>
      <c r="K5">
        <v>7</v>
      </c>
      <c r="L5">
        <f t="shared" si="0"/>
        <v>-1</v>
      </c>
      <c r="M5" s="6">
        <f t="shared" si="1"/>
        <v>1</v>
      </c>
      <c r="N5" s="6">
        <f t="shared" si="2"/>
        <v>0.95786864931846349</v>
      </c>
      <c r="O5" s="6">
        <f t="shared" si="3"/>
        <v>0.97994825355756787</v>
      </c>
      <c r="P5">
        <f t="shared" si="4"/>
        <v>10822</v>
      </c>
      <c r="Q5" s="6">
        <f>MIN(Table1[Unit Price])/Table1[[#This Row],[Unit Price]]</f>
        <v>0.7142857142857143</v>
      </c>
      <c r="R5" s="8">
        <f>IF(Table1[[#This Row],[Delivery Delay]]&gt;0,1,0)</f>
        <v>0</v>
      </c>
      <c r="S5" s="6">
        <f>(Table1[[#This Row],[OTD]]*0.4)+(Table1[[#This Row],[Quality Rate]]*0.3)+(Table1[[#This Row],[Fill Rate]]*0.2)+(Table1[[#This Row],[Cost Score]]*0.1)</f>
        <v>0.95698677735953452</v>
      </c>
      <c r="T5">
        <f>MAX(Table1[OTD])</f>
        <v>1</v>
      </c>
      <c r="U5" t="str">
        <f>IF(Table1[[#This Row],[Vendor Score]]&gt;=90%,"Excellent",IF(Table1[[#This Row],[Vendor Score]]&gt;=75%,"Moderate","Poor"))</f>
        <v>Excellent</v>
      </c>
    </row>
    <row r="6" spans="1:22" x14ac:dyDescent="0.35">
      <c r="A6" t="s">
        <v>254</v>
      </c>
      <c r="B6" t="s">
        <v>78</v>
      </c>
      <c r="C6" t="s">
        <v>79</v>
      </c>
      <c r="D6" t="s">
        <v>55</v>
      </c>
      <c r="E6" t="s">
        <v>15</v>
      </c>
      <c r="F6">
        <v>2083</v>
      </c>
      <c r="G6">
        <v>1935</v>
      </c>
      <c r="H6" s="1">
        <v>46363</v>
      </c>
      <c r="I6" s="1">
        <v>46363</v>
      </c>
      <c r="J6">
        <v>97</v>
      </c>
      <c r="K6">
        <v>6</v>
      </c>
      <c r="L6">
        <f t="shared" si="0"/>
        <v>0</v>
      </c>
      <c r="M6" s="6">
        <f t="shared" si="1"/>
        <v>1</v>
      </c>
      <c r="N6" s="6">
        <f t="shared" si="2"/>
        <v>0.928948631781085</v>
      </c>
      <c r="O6" s="6">
        <f t="shared" si="3"/>
        <v>0.94987080103359178</v>
      </c>
      <c r="P6">
        <f t="shared" si="4"/>
        <v>11610</v>
      </c>
      <c r="Q6" s="6">
        <f>MIN(Table1[Unit Price])/Table1[[#This Row],[Unit Price]]</f>
        <v>0.83333333333333337</v>
      </c>
      <c r="R6" s="8">
        <f>IF(Table1[[#This Row],[Delivery Delay]]&gt;0,1,0)</f>
        <v>0</v>
      </c>
      <c r="S6" s="6">
        <f>(Table1[[#This Row],[OTD]]*0.4)+(Table1[[#This Row],[Quality Rate]]*0.3)+(Table1[[#This Row],[Fill Rate]]*0.2)+(Table1[[#This Row],[Cost Score]]*0.1)</f>
        <v>0.95408429999962796</v>
      </c>
      <c r="T6">
        <f>MAX(Table1[OTD])</f>
        <v>1</v>
      </c>
      <c r="U6" t="str">
        <f>IF(Table1[[#This Row],[Vendor Score]]&gt;=90%,"Excellent",IF(Table1[[#This Row],[Vendor Score]]&gt;=75%,"Moderate","Poor"))</f>
        <v>Excellent</v>
      </c>
    </row>
    <row r="7" spans="1:22" x14ac:dyDescent="0.35">
      <c r="A7" t="s">
        <v>357</v>
      </c>
      <c r="B7" t="s">
        <v>78</v>
      </c>
      <c r="C7" t="s">
        <v>79</v>
      </c>
      <c r="D7" t="s">
        <v>33</v>
      </c>
      <c r="E7" t="s">
        <v>20</v>
      </c>
      <c r="F7">
        <v>4105</v>
      </c>
      <c r="G7">
        <v>3781</v>
      </c>
      <c r="H7" s="1">
        <v>46234</v>
      </c>
      <c r="I7" s="1">
        <v>46233</v>
      </c>
      <c r="J7">
        <v>192</v>
      </c>
      <c r="K7">
        <v>6</v>
      </c>
      <c r="L7">
        <f t="shared" si="0"/>
        <v>-1</v>
      </c>
      <c r="M7" s="6">
        <f t="shared" si="1"/>
        <v>1</v>
      </c>
      <c r="N7" s="6">
        <f t="shared" si="2"/>
        <v>0.9210718635809988</v>
      </c>
      <c r="O7" s="6">
        <f t="shared" si="3"/>
        <v>0.94921978312615707</v>
      </c>
      <c r="P7">
        <f t="shared" si="4"/>
        <v>22686</v>
      </c>
      <c r="Q7" s="6">
        <f>MIN(Table1[Unit Price])/Table1[[#This Row],[Unit Price]]</f>
        <v>0.83333333333333337</v>
      </c>
      <c r="R7" s="8">
        <f>IF(Table1[[#This Row],[Delivery Delay]]&gt;0,1,0)</f>
        <v>0</v>
      </c>
      <c r="S7" s="6">
        <f>(Table1[[#This Row],[OTD]]*0.4)+(Table1[[#This Row],[Quality Rate]]*0.3)+(Table1[[#This Row],[Fill Rate]]*0.2)+(Table1[[#This Row],[Cost Score]]*0.1)</f>
        <v>0.95231364098738036</v>
      </c>
      <c r="T7">
        <f>MAX(Table1[OTD])</f>
        <v>1</v>
      </c>
      <c r="U7" t="str">
        <f>IF(Table1[[#This Row],[Vendor Score]]&gt;=90%,"Excellent",IF(Table1[[#This Row],[Vendor Score]]&gt;=75%,"Moderate","Poor"))</f>
        <v>Excellent</v>
      </c>
    </row>
    <row r="8" spans="1:22" x14ac:dyDescent="0.35">
      <c r="A8" t="s">
        <v>307</v>
      </c>
      <c r="B8" t="s">
        <v>26</v>
      </c>
      <c r="C8" t="s">
        <v>27</v>
      </c>
      <c r="D8" t="s">
        <v>33</v>
      </c>
      <c r="E8" t="s">
        <v>24</v>
      </c>
      <c r="F8">
        <v>1084</v>
      </c>
      <c r="G8">
        <v>1070</v>
      </c>
      <c r="H8" s="1">
        <v>46148</v>
      </c>
      <c r="I8" s="1">
        <v>46148</v>
      </c>
      <c r="J8">
        <v>16</v>
      </c>
      <c r="K8">
        <v>9</v>
      </c>
      <c r="L8">
        <f t="shared" si="0"/>
        <v>0</v>
      </c>
      <c r="M8" s="6">
        <f t="shared" si="1"/>
        <v>1</v>
      </c>
      <c r="N8" s="6">
        <f t="shared" si="2"/>
        <v>0.98708487084870844</v>
      </c>
      <c r="O8" s="6">
        <f t="shared" si="3"/>
        <v>0.98504672897196266</v>
      </c>
      <c r="P8">
        <f t="shared" si="4"/>
        <v>9630</v>
      </c>
      <c r="Q8" s="6">
        <f>MIN(Table1[Unit Price])/Table1[[#This Row],[Unit Price]]</f>
        <v>0.55555555555555558</v>
      </c>
      <c r="R8" s="8">
        <f>IF(Table1[[#This Row],[Delivery Delay]]&gt;0,1,0)</f>
        <v>0</v>
      </c>
      <c r="S8" s="6">
        <f>(Table1[[#This Row],[OTD]]*0.4)+(Table1[[#This Row],[Quality Rate]]*0.3)+(Table1[[#This Row],[Fill Rate]]*0.2)+(Table1[[#This Row],[Cost Score]]*0.1)</f>
        <v>0.94848654841688607</v>
      </c>
      <c r="T8">
        <f>MAX(Table1[OTD])</f>
        <v>1</v>
      </c>
      <c r="U8" t="str">
        <f>IF(Table1[[#This Row],[Vendor Score]]&gt;=90%,"Excellent",IF(Table1[[#This Row],[Vendor Score]]&gt;=75%,"Moderate","Poor"))</f>
        <v>Excellent</v>
      </c>
    </row>
    <row r="9" spans="1:22" x14ac:dyDescent="0.35">
      <c r="A9" t="s">
        <v>288</v>
      </c>
      <c r="B9" t="s">
        <v>45</v>
      </c>
      <c r="C9" t="s">
        <v>46</v>
      </c>
      <c r="D9" t="s">
        <v>19</v>
      </c>
      <c r="E9" t="s">
        <v>20</v>
      </c>
      <c r="F9">
        <v>3752</v>
      </c>
      <c r="G9">
        <v>3559</v>
      </c>
      <c r="H9" s="1">
        <v>46217</v>
      </c>
      <c r="I9" s="1">
        <v>46217</v>
      </c>
      <c r="J9">
        <v>322</v>
      </c>
      <c r="K9">
        <v>6</v>
      </c>
      <c r="L9">
        <f t="shared" si="0"/>
        <v>0</v>
      </c>
      <c r="M9" s="6">
        <f t="shared" si="1"/>
        <v>1</v>
      </c>
      <c r="N9" s="6">
        <f t="shared" si="2"/>
        <v>0.94856076759061836</v>
      </c>
      <c r="O9" s="6">
        <f t="shared" si="3"/>
        <v>0.90952514751334645</v>
      </c>
      <c r="P9">
        <f t="shared" si="4"/>
        <v>21354</v>
      </c>
      <c r="Q9" s="6">
        <f>MIN(Table1[Unit Price])/Table1[[#This Row],[Unit Price]]</f>
        <v>0.83333333333333337</v>
      </c>
      <c r="R9" s="8">
        <f>IF(Table1[[#This Row],[Delivery Delay]]&gt;0,1,0)</f>
        <v>0</v>
      </c>
      <c r="S9" s="6">
        <f>(Table1[[#This Row],[OTD]]*0.4)+(Table1[[#This Row],[Quality Rate]]*0.3)+(Table1[[#This Row],[Fill Rate]]*0.2)+(Table1[[#This Row],[Cost Score]]*0.1)</f>
        <v>0.94590303110546092</v>
      </c>
      <c r="T9">
        <f>MAX(Table1[OTD])</f>
        <v>1</v>
      </c>
      <c r="U9" t="str">
        <f>IF(Table1[[#This Row],[Vendor Score]]&gt;=90%,"Excellent",IF(Table1[[#This Row],[Vendor Score]]&gt;=75%,"Moderate","Poor"))</f>
        <v>Excellent</v>
      </c>
    </row>
    <row r="10" spans="1:22" x14ac:dyDescent="0.35">
      <c r="A10" t="s">
        <v>299</v>
      </c>
      <c r="B10" t="s">
        <v>42</v>
      </c>
      <c r="C10" t="s">
        <v>43</v>
      </c>
      <c r="D10" t="s">
        <v>19</v>
      </c>
      <c r="E10" t="s">
        <v>70</v>
      </c>
      <c r="F10">
        <v>1429</v>
      </c>
      <c r="G10">
        <v>1374</v>
      </c>
      <c r="H10" s="1">
        <v>46027</v>
      </c>
      <c r="I10" s="1">
        <v>46026</v>
      </c>
      <c r="J10">
        <v>18</v>
      </c>
      <c r="K10">
        <v>9</v>
      </c>
      <c r="L10">
        <f t="shared" si="0"/>
        <v>-1</v>
      </c>
      <c r="M10" s="6">
        <f t="shared" si="1"/>
        <v>1</v>
      </c>
      <c r="N10" s="6">
        <f t="shared" si="2"/>
        <v>0.96151154653603921</v>
      </c>
      <c r="O10" s="6">
        <f t="shared" si="3"/>
        <v>0.98689956331877726</v>
      </c>
      <c r="P10">
        <f t="shared" si="4"/>
        <v>12366</v>
      </c>
      <c r="Q10" s="6">
        <f>MIN(Table1[Unit Price])/Table1[[#This Row],[Unit Price]]</f>
        <v>0.55555555555555558</v>
      </c>
      <c r="R10" s="8">
        <f>IF(Table1[[#This Row],[Delivery Delay]]&gt;0,1,0)</f>
        <v>0</v>
      </c>
      <c r="S10" s="6">
        <f>(Table1[[#This Row],[OTD]]*0.4)+(Table1[[#This Row],[Quality Rate]]*0.3)+(Table1[[#This Row],[Fill Rate]]*0.2)+(Table1[[#This Row],[Cost Score]]*0.1)</f>
        <v>0.94392773385839657</v>
      </c>
      <c r="T10">
        <f>MAX(Table1[OTD])</f>
        <v>1</v>
      </c>
      <c r="U10" t="str">
        <f>IF(Table1[[#This Row],[Vendor Score]]&gt;=90%,"Excellent",IF(Table1[[#This Row],[Vendor Score]]&gt;=75%,"Moderate","Poor"))</f>
        <v>Excellent</v>
      </c>
    </row>
    <row r="11" spans="1:22" x14ac:dyDescent="0.35">
      <c r="A11" t="s">
        <v>360</v>
      </c>
      <c r="B11" t="s">
        <v>26</v>
      </c>
      <c r="C11" t="s">
        <v>27</v>
      </c>
      <c r="D11" t="s">
        <v>19</v>
      </c>
      <c r="E11" t="s">
        <v>24</v>
      </c>
      <c r="F11">
        <v>1048</v>
      </c>
      <c r="G11">
        <v>1030</v>
      </c>
      <c r="H11" s="1">
        <v>46162</v>
      </c>
      <c r="I11" s="1">
        <v>46162</v>
      </c>
      <c r="J11">
        <v>11</v>
      </c>
      <c r="K11">
        <v>10</v>
      </c>
      <c r="L11">
        <f t="shared" si="0"/>
        <v>0</v>
      </c>
      <c r="M11" s="6">
        <f t="shared" si="1"/>
        <v>1</v>
      </c>
      <c r="N11" s="6">
        <f t="shared" si="2"/>
        <v>0.98282442748091603</v>
      </c>
      <c r="O11" s="6">
        <f t="shared" si="3"/>
        <v>0.98932038834951452</v>
      </c>
      <c r="P11">
        <f t="shared" si="4"/>
        <v>10300</v>
      </c>
      <c r="Q11" s="6">
        <f>MIN(Table1[Unit Price])/Table1[[#This Row],[Unit Price]]</f>
        <v>0.5</v>
      </c>
      <c r="R11" s="8">
        <f>IF(Table1[[#This Row],[Delivery Delay]]&gt;0,1,0)</f>
        <v>0</v>
      </c>
      <c r="S11" s="6">
        <f>(Table1[[#This Row],[OTD]]*0.4)+(Table1[[#This Row],[Quality Rate]]*0.3)+(Table1[[#This Row],[Fill Rate]]*0.2)+(Table1[[#This Row],[Cost Score]]*0.1)</f>
        <v>0.94336100200103767</v>
      </c>
      <c r="T11">
        <f>MAX(Table1[OTD])</f>
        <v>1</v>
      </c>
      <c r="U11" t="str">
        <f>IF(Table1[[#This Row],[Vendor Score]]&gt;=90%,"Excellent",IF(Table1[[#This Row],[Vendor Score]]&gt;=75%,"Moderate","Poor"))</f>
        <v>Excellent</v>
      </c>
    </row>
    <row r="12" spans="1:22" x14ac:dyDescent="0.35">
      <c r="A12" t="s">
        <v>312</v>
      </c>
      <c r="B12" t="s">
        <v>17</v>
      </c>
      <c r="C12" t="s">
        <v>18</v>
      </c>
      <c r="D12" t="s">
        <v>14</v>
      </c>
      <c r="E12" t="s">
        <v>15</v>
      </c>
      <c r="F12">
        <v>3636</v>
      </c>
      <c r="G12">
        <v>3424</v>
      </c>
      <c r="H12" s="1">
        <v>46358</v>
      </c>
      <c r="I12" s="1">
        <v>46357</v>
      </c>
      <c r="J12">
        <v>137</v>
      </c>
      <c r="K12">
        <v>8</v>
      </c>
      <c r="L12">
        <f t="shared" si="0"/>
        <v>-1</v>
      </c>
      <c r="M12" s="6">
        <f t="shared" si="1"/>
        <v>1</v>
      </c>
      <c r="N12" s="6">
        <f t="shared" si="2"/>
        <v>0.94169416941694173</v>
      </c>
      <c r="O12" s="6">
        <f t="shared" si="3"/>
        <v>0.95998831775700932</v>
      </c>
      <c r="P12">
        <f t="shared" si="4"/>
        <v>27392</v>
      </c>
      <c r="Q12" s="6">
        <f>MIN(Table1[Unit Price])/Table1[[#This Row],[Unit Price]]</f>
        <v>0.625</v>
      </c>
      <c r="R12" s="8">
        <f>IF(Table1[[#This Row],[Delivery Delay]]&gt;0,1,0)</f>
        <v>0</v>
      </c>
      <c r="S12" s="6">
        <f>(Table1[[#This Row],[OTD]]*0.4)+(Table1[[#This Row],[Quality Rate]]*0.3)+(Table1[[#This Row],[Fill Rate]]*0.2)+(Table1[[#This Row],[Cost Score]]*0.1)</f>
        <v>0.93883532921049118</v>
      </c>
      <c r="T12">
        <f>MAX(Table1[OTD])</f>
        <v>1</v>
      </c>
      <c r="U12" t="str">
        <f>IF(Table1[[#This Row],[Vendor Score]]&gt;=90%,"Excellent",IF(Table1[[#This Row],[Vendor Score]]&gt;=75%,"Moderate","Poor"))</f>
        <v>Excellent</v>
      </c>
    </row>
    <row r="13" spans="1:22" x14ac:dyDescent="0.35">
      <c r="A13" t="s">
        <v>266</v>
      </c>
      <c r="B13" t="s">
        <v>78</v>
      </c>
      <c r="C13" t="s">
        <v>79</v>
      </c>
      <c r="D13" t="s">
        <v>14</v>
      </c>
      <c r="E13" t="s">
        <v>70</v>
      </c>
      <c r="F13">
        <v>4317</v>
      </c>
      <c r="G13">
        <v>4089</v>
      </c>
      <c r="H13" s="1">
        <v>46037</v>
      </c>
      <c r="I13" s="1">
        <v>46037</v>
      </c>
      <c r="J13">
        <v>207</v>
      </c>
      <c r="K13">
        <v>9</v>
      </c>
      <c r="L13">
        <f t="shared" si="0"/>
        <v>0</v>
      </c>
      <c r="M13" s="6">
        <f t="shared" si="1"/>
        <v>1</v>
      </c>
      <c r="N13" s="6">
        <f t="shared" si="2"/>
        <v>0.94718554551772061</v>
      </c>
      <c r="O13" s="6">
        <f t="shared" si="3"/>
        <v>0.9493763756419662</v>
      </c>
      <c r="P13">
        <f t="shared" si="4"/>
        <v>36801</v>
      </c>
      <c r="Q13" s="6">
        <f>MIN(Table1[Unit Price])/Table1[[#This Row],[Unit Price]]</f>
        <v>0.55555555555555558</v>
      </c>
      <c r="R13" s="8">
        <f>IF(Table1[[#This Row],[Delivery Delay]]&gt;0,1,0)</f>
        <v>0</v>
      </c>
      <c r="S13" s="6">
        <f>(Table1[[#This Row],[OTD]]*0.4)+(Table1[[#This Row],[Quality Rate]]*0.3)+(Table1[[#This Row],[Fill Rate]]*0.2)+(Table1[[#This Row],[Cost Score]]*0.1)</f>
        <v>0.92980557735168967</v>
      </c>
      <c r="T13">
        <f>MAX(Table1[OTD])</f>
        <v>1</v>
      </c>
      <c r="U13" t="str">
        <f>IF(Table1[[#This Row],[Vendor Score]]&gt;=90%,"Excellent",IF(Table1[[#This Row],[Vendor Score]]&gt;=75%,"Moderate","Poor"))</f>
        <v>Excellent</v>
      </c>
    </row>
    <row r="14" spans="1:22" x14ac:dyDescent="0.35">
      <c r="A14" t="s">
        <v>289</v>
      </c>
      <c r="B14" t="s">
        <v>17</v>
      </c>
      <c r="C14" t="s">
        <v>18</v>
      </c>
      <c r="D14" t="s">
        <v>55</v>
      </c>
      <c r="E14" t="s">
        <v>47</v>
      </c>
      <c r="F14">
        <v>4362</v>
      </c>
      <c r="G14">
        <v>4084</v>
      </c>
      <c r="H14" s="1">
        <v>46351</v>
      </c>
      <c r="I14" s="1">
        <v>46351</v>
      </c>
      <c r="J14">
        <v>166</v>
      </c>
      <c r="K14">
        <v>10</v>
      </c>
      <c r="L14">
        <f t="shared" si="0"/>
        <v>0</v>
      </c>
      <c r="M14" s="6">
        <f t="shared" si="1"/>
        <v>1</v>
      </c>
      <c r="N14" s="6">
        <f t="shared" si="2"/>
        <v>0.93626776707932147</v>
      </c>
      <c r="O14" s="6">
        <f t="shared" si="3"/>
        <v>0.95935357492654261</v>
      </c>
      <c r="P14">
        <f t="shared" si="4"/>
        <v>40840</v>
      </c>
      <c r="Q14" s="6">
        <f>MIN(Table1[Unit Price])/Table1[[#This Row],[Unit Price]]</f>
        <v>0.5</v>
      </c>
      <c r="R14" s="8">
        <f>IF(Table1[[#This Row],[Delivery Delay]]&gt;0,1,0)</f>
        <v>0</v>
      </c>
      <c r="S14" s="6">
        <f>(Table1[[#This Row],[OTD]]*0.4)+(Table1[[#This Row],[Quality Rate]]*0.3)+(Table1[[#This Row],[Fill Rate]]*0.2)+(Table1[[#This Row],[Cost Score]]*0.1)</f>
        <v>0.92505962589382706</v>
      </c>
      <c r="T14">
        <f>MAX(Table1[OTD])</f>
        <v>1</v>
      </c>
      <c r="U14" t="str">
        <f>IF(Table1[[#This Row],[Vendor Score]]&gt;=90%,"Excellent",IF(Table1[[#This Row],[Vendor Score]]&gt;=75%,"Moderate","Poor"))</f>
        <v>Excellent</v>
      </c>
    </row>
    <row r="15" spans="1:22" x14ac:dyDescent="0.35">
      <c r="A15" t="s">
        <v>248</v>
      </c>
      <c r="B15" t="s">
        <v>59</v>
      </c>
      <c r="C15" t="s">
        <v>60</v>
      </c>
      <c r="D15" t="s">
        <v>33</v>
      </c>
      <c r="E15" t="s">
        <v>96</v>
      </c>
      <c r="F15">
        <v>805</v>
      </c>
      <c r="G15">
        <v>772</v>
      </c>
      <c r="H15" s="1">
        <v>46113</v>
      </c>
      <c r="I15" s="1">
        <v>46113</v>
      </c>
      <c r="J15">
        <v>51</v>
      </c>
      <c r="K15">
        <v>10</v>
      </c>
      <c r="L15">
        <f t="shared" si="0"/>
        <v>0</v>
      </c>
      <c r="M15" s="6">
        <f t="shared" si="1"/>
        <v>1</v>
      </c>
      <c r="N15" s="6">
        <f t="shared" si="2"/>
        <v>0.95900621118012419</v>
      </c>
      <c r="O15" s="6">
        <f t="shared" si="3"/>
        <v>0.93393782383419688</v>
      </c>
      <c r="P15">
        <f t="shared" si="4"/>
        <v>7720</v>
      </c>
      <c r="Q15" s="6">
        <f>MIN(Table1[Unit Price])/Table1[[#This Row],[Unit Price]]</f>
        <v>0.5</v>
      </c>
      <c r="R15" s="8">
        <f>IF(Table1[[#This Row],[Delivery Delay]]&gt;0,1,0)</f>
        <v>0</v>
      </c>
      <c r="S15" s="6">
        <f>(Table1[[#This Row],[OTD]]*0.4)+(Table1[[#This Row],[Quality Rate]]*0.3)+(Table1[[#This Row],[Fill Rate]]*0.2)+(Table1[[#This Row],[Cost Score]]*0.1)</f>
        <v>0.92198258938628408</v>
      </c>
      <c r="T15">
        <f>MAX(Table1[OTD])</f>
        <v>1</v>
      </c>
      <c r="U15" t="str">
        <f>IF(Table1[[#This Row],[Vendor Score]]&gt;=90%,"Excellent",IF(Table1[[#This Row],[Vendor Score]]&gt;=75%,"Moderate","Poor"))</f>
        <v>Excellent</v>
      </c>
    </row>
    <row r="16" spans="1:22" x14ac:dyDescent="0.35">
      <c r="A16" t="s">
        <v>267</v>
      </c>
      <c r="B16" t="s">
        <v>59</v>
      </c>
      <c r="C16" t="s">
        <v>60</v>
      </c>
      <c r="D16" t="s">
        <v>14</v>
      </c>
      <c r="E16" t="s">
        <v>34</v>
      </c>
      <c r="F16">
        <v>4870</v>
      </c>
      <c r="G16">
        <v>4655</v>
      </c>
      <c r="H16" s="1">
        <v>46183</v>
      </c>
      <c r="I16" s="1">
        <v>46181</v>
      </c>
      <c r="J16">
        <v>281</v>
      </c>
      <c r="K16">
        <v>11</v>
      </c>
      <c r="L16">
        <f t="shared" si="0"/>
        <v>-2</v>
      </c>
      <c r="M16" s="6">
        <f t="shared" si="1"/>
        <v>1</v>
      </c>
      <c r="N16" s="6">
        <f t="shared" si="2"/>
        <v>0.95585215605749485</v>
      </c>
      <c r="O16" s="6">
        <f t="shared" si="3"/>
        <v>0.93963480128893662</v>
      </c>
      <c r="P16">
        <f t="shared" si="4"/>
        <v>51205</v>
      </c>
      <c r="Q16" s="6">
        <f>MIN(Table1[Unit Price])/Table1[[#This Row],[Unit Price]]</f>
        <v>0.45454545454545453</v>
      </c>
      <c r="R16" s="8">
        <f>IF(Table1[[#This Row],[Delivery Delay]]&gt;0,1,0)</f>
        <v>0</v>
      </c>
      <c r="S16" s="6">
        <f>(Table1[[#This Row],[OTD]]*0.4)+(Table1[[#This Row],[Quality Rate]]*0.3)+(Table1[[#This Row],[Fill Rate]]*0.2)+(Table1[[#This Row],[Cost Score]]*0.1)</f>
        <v>0.91851541705272544</v>
      </c>
      <c r="T16">
        <f>MAX(Table1[OTD])</f>
        <v>1</v>
      </c>
      <c r="U16" t="str">
        <f>IF(Table1[[#This Row],[Vendor Score]]&gt;=90%,"Excellent",IF(Table1[[#This Row],[Vendor Score]]&gt;=75%,"Moderate","Poor"))</f>
        <v>Excellent</v>
      </c>
    </row>
    <row r="17" spans="1:21" x14ac:dyDescent="0.35">
      <c r="A17" t="s">
        <v>268</v>
      </c>
      <c r="B17" t="s">
        <v>42</v>
      </c>
      <c r="C17" t="s">
        <v>43</v>
      </c>
      <c r="D17" t="s">
        <v>33</v>
      </c>
      <c r="E17" t="s">
        <v>57</v>
      </c>
      <c r="F17">
        <v>2011</v>
      </c>
      <c r="G17">
        <v>2006</v>
      </c>
      <c r="H17" s="1">
        <v>46309</v>
      </c>
      <c r="I17" s="1">
        <v>46307</v>
      </c>
      <c r="J17">
        <v>25</v>
      </c>
      <c r="K17">
        <v>22</v>
      </c>
      <c r="L17">
        <f t="shared" si="0"/>
        <v>-2</v>
      </c>
      <c r="M17" s="6">
        <f t="shared" si="1"/>
        <v>1</v>
      </c>
      <c r="N17" s="6">
        <f t="shared" si="2"/>
        <v>0.99751367478866237</v>
      </c>
      <c r="O17" s="6">
        <f t="shared" si="3"/>
        <v>0.98753738783649048</v>
      </c>
      <c r="P17">
        <f t="shared" si="4"/>
        <v>44132</v>
      </c>
      <c r="Q17" s="6">
        <f>MIN(Table1[Unit Price])/Table1[[#This Row],[Unit Price]]</f>
        <v>0.22727272727272727</v>
      </c>
      <c r="R17" s="8">
        <f>IF(Table1[[#This Row],[Delivery Delay]]&gt;0,1,0)</f>
        <v>0</v>
      </c>
      <c r="S17" s="6">
        <f>(Table1[[#This Row],[OTD]]*0.4)+(Table1[[#This Row],[Quality Rate]]*0.3)+(Table1[[#This Row],[Fill Rate]]*0.2)+(Table1[[#This Row],[Cost Score]]*0.1)</f>
        <v>0.9184912240359524</v>
      </c>
      <c r="T17">
        <f>MAX(Table1[OTD])</f>
        <v>1</v>
      </c>
      <c r="U17" t="str">
        <f>IF(Table1[[#This Row],[Vendor Score]]&gt;=90%,"Excellent",IF(Table1[[#This Row],[Vendor Score]]&gt;=75%,"Moderate","Poor"))</f>
        <v>Excellent</v>
      </c>
    </row>
    <row r="18" spans="1:21" x14ac:dyDescent="0.35">
      <c r="A18" t="s">
        <v>179</v>
      </c>
      <c r="B18" t="s">
        <v>45</v>
      </c>
      <c r="C18" t="s">
        <v>46</v>
      </c>
      <c r="D18" t="s">
        <v>14</v>
      </c>
      <c r="E18" t="s">
        <v>28</v>
      </c>
      <c r="F18">
        <v>795</v>
      </c>
      <c r="G18">
        <v>777</v>
      </c>
      <c r="H18" s="1">
        <v>46276</v>
      </c>
      <c r="I18" s="1">
        <v>46274</v>
      </c>
      <c r="J18">
        <v>73</v>
      </c>
      <c r="K18">
        <v>10</v>
      </c>
      <c r="L18">
        <f t="shared" si="0"/>
        <v>-2</v>
      </c>
      <c r="M18" s="6">
        <f t="shared" si="1"/>
        <v>1</v>
      </c>
      <c r="N18" s="6">
        <f t="shared" si="2"/>
        <v>0.97735849056603774</v>
      </c>
      <c r="O18" s="6">
        <f t="shared" si="3"/>
        <v>0.90604890604890609</v>
      </c>
      <c r="P18">
        <f t="shared" si="4"/>
        <v>7770</v>
      </c>
      <c r="Q18" s="6">
        <f>MIN(Table1[Unit Price])/Table1[[#This Row],[Unit Price]]</f>
        <v>0.5</v>
      </c>
      <c r="R18" s="8">
        <f>IF(Table1[[#This Row],[Delivery Delay]]&gt;0,1,0)</f>
        <v>0</v>
      </c>
      <c r="S18" s="6">
        <f>(Table1[[#This Row],[OTD]]*0.4)+(Table1[[#This Row],[Quality Rate]]*0.3)+(Table1[[#This Row],[Fill Rate]]*0.2)+(Table1[[#This Row],[Cost Score]]*0.1)</f>
        <v>0.91728636992787937</v>
      </c>
      <c r="T18">
        <f>MAX(Table1[OTD])</f>
        <v>1</v>
      </c>
      <c r="U18" t="str">
        <f>IF(Table1[[#This Row],[Vendor Score]]&gt;=90%,"Excellent",IF(Table1[[#This Row],[Vendor Score]]&gt;=75%,"Moderate","Poor"))</f>
        <v>Excellent</v>
      </c>
    </row>
    <row r="19" spans="1:21" x14ac:dyDescent="0.35">
      <c r="A19" t="s">
        <v>278</v>
      </c>
      <c r="B19" t="s">
        <v>22</v>
      </c>
      <c r="C19" t="s">
        <v>23</v>
      </c>
      <c r="D19" t="s">
        <v>55</v>
      </c>
      <c r="E19" t="s">
        <v>20</v>
      </c>
      <c r="F19">
        <v>4712</v>
      </c>
      <c r="G19">
        <v>4710</v>
      </c>
      <c r="H19" s="1">
        <v>46213</v>
      </c>
      <c r="I19" s="1">
        <v>46213</v>
      </c>
      <c r="J19">
        <v>335</v>
      </c>
      <c r="K19">
        <v>13</v>
      </c>
      <c r="L19">
        <f t="shared" si="0"/>
        <v>0</v>
      </c>
      <c r="M19" s="6">
        <f t="shared" si="1"/>
        <v>1</v>
      </c>
      <c r="N19" s="6">
        <f t="shared" si="2"/>
        <v>0.99957555178268254</v>
      </c>
      <c r="O19" s="6">
        <f t="shared" si="3"/>
        <v>0.9288747346072187</v>
      </c>
      <c r="P19">
        <f t="shared" si="4"/>
        <v>61230</v>
      </c>
      <c r="Q19" s="6">
        <f>MIN(Table1[Unit Price])/Table1[[#This Row],[Unit Price]]</f>
        <v>0.38461538461538464</v>
      </c>
      <c r="R19" s="8">
        <f>IF(Table1[[#This Row],[Delivery Delay]]&gt;0,1,0)</f>
        <v>0</v>
      </c>
      <c r="S19" s="6">
        <f>(Table1[[#This Row],[OTD]]*0.4)+(Table1[[#This Row],[Quality Rate]]*0.3)+(Table1[[#This Row],[Fill Rate]]*0.2)+(Table1[[#This Row],[Cost Score]]*0.1)</f>
        <v>0.91703906920024059</v>
      </c>
      <c r="T19">
        <f>MAX(Table1[OTD])</f>
        <v>1</v>
      </c>
      <c r="U19" t="str">
        <f>IF(Table1[[#This Row],[Vendor Score]]&gt;=90%,"Excellent",IF(Table1[[#This Row],[Vendor Score]]&gt;=75%,"Moderate","Poor"))</f>
        <v>Excellent</v>
      </c>
    </row>
    <row r="20" spans="1:21" x14ac:dyDescent="0.35">
      <c r="A20" t="s">
        <v>61</v>
      </c>
      <c r="B20" t="s">
        <v>42</v>
      </c>
      <c r="C20" t="s">
        <v>43</v>
      </c>
      <c r="D20" t="s">
        <v>14</v>
      </c>
      <c r="E20" t="s">
        <v>47</v>
      </c>
      <c r="F20">
        <v>2040</v>
      </c>
      <c r="G20">
        <v>1970</v>
      </c>
      <c r="H20" s="1">
        <v>46342</v>
      </c>
      <c r="I20" s="1">
        <v>46341</v>
      </c>
      <c r="J20">
        <v>22</v>
      </c>
      <c r="K20">
        <v>19</v>
      </c>
      <c r="L20">
        <f t="shared" si="0"/>
        <v>-1</v>
      </c>
      <c r="M20" s="6">
        <f t="shared" si="1"/>
        <v>1</v>
      </c>
      <c r="N20" s="6">
        <f t="shared" si="2"/>
        <v>0.96568627450980393</v>
      </c>
      <c r="O20" s="6">
        <f t="shared" si="3"/>
        <v>0.98883248730964468</v>
      </c>
      <c r="P20">
        <f t="shared" si="4"/>
        <v>37430</v>
      </c>
      <c r="Q20" s="6">
        <f>MIN(Table1[Unit Price])/Table1[[#This Row],[Unit Price]]</f>
        <v>0.26315789473684209</v>
      </c>
      <c r="R20" s="8">
        <f>IF(Table1[[#This Row],[Delivery Delay]]&gt;0,1,0)</f>
        <v>0</v>
      </c>
      <c r="S20" s="6">
        <f>(Table1[[#This Row],[OTD]]*0.4)+(Table1[[#This Row],[Quality Rate]]*0.3)+(Table1[[#This Row],[Fill Rate]]*0.2)+(Table1[[#This Row],[Cost Score]]*0.1)</f>
        <v>0.91610279056853838</v>
      </c>
      <c r="T20">
        <f>MAX(Table1[OTD])</f>
        <v>1</v>
      </c>
      <c r="U20" t="str">
        <f>IF(Table1[[#This Row],[Vendor Score]]&gt;=90%,"Excellent",IF(Table1[[#This Row],[Vendor Score]]&gt;=75%,"Moderate","Poor"))</f>
        <v>Excellent</v>
      </c>
    </row>
    <row r="21" spans="1:21" x14ac:dyDescent="0.35">
      <c r="A21" t="s">
        <v>232</v>
      </c>
      <c r="B21" t="s">
        <v>38</v>
      </c>
      <c r="C21" t="s">
        <v>39</v>
      </c>
      <c r="D21" t="s">
        <v>14</v>
      </c>
      <c r="E21" t="s">
        <v>40</v>
      </c>
      <c r="F21">
        <v>382</v>
      </c>
      <c r="G21">
        <v>373</v>
      </c>
      <c r="H21" s="1">
        <v>46264</v>
      </c>
      <c r="I21" s="1">
        <v>46264</v>
      </c>
      <c r="J21">
        <v>9</v>
      </c>
      <c r="K21">
        <v>18</v>
      </c>
      <c r="L21">
        <f t="shared" si="0"/>
        <v>0</v>
      </c>
      <c r="M21" s="6">
        <f t="shared" si="1"/>
        <v>1</v>
      </c>
      <c r="N21" s="6">
        <f t="shared" si="2"/>
        <v>0.97643979057591623</v>
      </c>
      <c r="O21" s="6">
        <f t="shared" si="3"/>
        <v>0.97587131367292224</v>
      </c>
      <c r="P21">
        <f t="shared" si="4"/>
        <v>6714</v>
      </c>
      <c r="Q21" s="6">
        <f>MIN(Table1[Unit Price])/Table1[[#This Row],[Unit Price]]</f>
        <v>0.27777777777777779</v>
      </c>
      <c r="R21" s="8">
        <f>IF(Table1[[#This Row],[Delivery Delay]]&gt;0,1,0)</f>
        <v>0</v>
      </c>
      <c r="S21" s="6">
        <f>(Table1[[#This Row],[OTD]]*0.4)+(Table1[[#This Row],[Quality Rate]]*0.3)+(Table1[[#This Row],[Fill Rate]]*0.2)+(Table1[[#This Row],[Cost Score]]*0.1)</f>
        <v>0.91582712999483773</v>
      </c>
      <c r="T21">
        <f>MAX(Table1[OTD])</f>
        <v>1</v>
      </c>
      <c r="U21" t="str">
        <f>IF(Table1[[#This Row],[Vendor Score]]&gt;=90%,"Excellent",IF(Table1[[#This Row],[Vendor Score]]&gt;=75%,"Moderate","Poor"))</f>
        <v>Excellent</v>
      </c>
    </row>
    <row r="22" spans="1:21" x14ac:dyDescent="0.35">
      <c r="A22" t="s">
        <v>343</v>
      </c>
      <c r="B22" t="s">
        <v>26</v>
      </c>
      <c r="C22" t="s">
        <v>27</v>
      </c>
      <c r="D22" t="s">
        <v>33</v>
      </c>
      <c r="E22" t="s">
        <v>70</v>
      </c>
      <c r="F22">
        <v>4028</v>
      </c>
      <c r="G22">
        <v>3905</v>
      </c>
      <c r="H22" s="1">
        <v>46038</v>
      </c>
      <c r="I22" s="1">
        <v>46038</v>
      </c>
      <c r="J22">
        <v>41</v>
      </c>
      <c r="K22">
        <v>20</v>
      </c>
      <c r="L22">
        <f t="shared" si="0"/>
        <v>0</v>
      </c>
      <c r="M22" s="6">
        <f t="shared" si="1"/>
        <v>1</v>
      </c>
      <c r="N22" s="6">
        <f t="shared" si="2"/>
        <v>0.96946375372393245</v>
      </c>
      <c r="O22" s="6">
        <f t="shared" si="3"/>
        <v>0.98950064020486561</v>
      </c>
      <c r="P22">
        <f t="shared" si="4"/>
        <v>78100</v>
      </c>
      <c r="Q22" s="6">
        <f>MIN(Table1[Unit Price])/Table1[[#This Row],[Unit Price]]</f>
        <v>0.25</v>
      </c>
      <c r="R22" s="8">
        <f>IF(Table1[[#This Row],[Delivery Delay]]&gt;0,1,0)</f>
        <v>0</v>
      </c>
      <c r="S22" s="6">
        <f>(Table1[[#This Row],[OTD]]*0.4)+(Table1[[#This Row],[Quality Rate]]*0.3)+(Table1[[#This Row],[Fill Rate]]*0.2)+(Table1[[#This Row],[Cost Score]]*0.1)</f>
        <v>0.91574294280624624</v>
      </c>
      <c r="T22">
        <f>MAX(Table1[OTD])</f>
        <v>1</v>
      </c>
      <c r="U22" t="str">
        <f>IF(Table1[[#This Row],[Vendor Score]]&gt;=90%,"Excellent",IF(Table1[[#This Row],[Vendor Score]]&gt;=75%,"Moderate","Poor"))</f>
        <v>Excellent</v>
      </c>
    </row>
    <row r="23" spans="1:21" x14ac:dyDescent="0.35">
      <c r="A23" t="s">
        <v>409</v>
      </c>
      <c r="B23" t="s">
        <v>26</v>
      </c>
      <c r="C23" t="s">
        <v>27</v>
      </c>
      <c r="D23" t="s">
        <v>14</v>
      </c>
      <c r="E23" t="s">
        <v>24</v>
      </c>
      <c r="F23">
        <v>1173</v>
      </c>
      <c r="G23">
        <v>1161</v>
      </c>
      <c r="H23" s="1">
        <v>46153</v>
      </c>
      <c r="I23" s="1">
        <v>46151</v>
      </c>
      <c r="J23">
        <v>15</v>
      </c>
      <c r="K23">
        <v>25</v>
      </c>
      <c r="L23">
        <f t="shared" si="0"/>
        <v>-2</v>
      </c>
      <c r="M23" s="6">
        <f t="shared" si="1"/>
        <v>1</v>
      </c>
      <c r="N23" s="6">
        <f t="shared" si="2"/>
        <v>0.98976982097186705</v>
      </c>
      <c r="O23" s="6">
        <f t="shared" si="3"/>
        <v>0.98708010335917318</v>
      </c>
      <c r="P23">
        <f t="shared" si="4"/>
        <v>29025</v>
      </c>
      <c r="Q23" s="6">
        <f>MIN(Table1[Unit Price])/Table1[[#This Row],[Unit Price]]</f>
        <v>0.2</v>
      </c>
      <c r="R23" s="8">
        <f>IF(Table1[[#This Row],[Delivery Delay]]&gt;0,1,0)</f>
        <v>0</v>
      </c>
      <c r="S23" s="6">
        <f>(Table1[[#This Row],[OTD]]*0.4)+(Table1[[#This Row],[Quality Rate]]*0.3)+(Table1[[#This Row],[Fill Rate]]*0.2)+(Table1[[#This Row],[Cost Score]]*0.1)</f>
        <v>0.91407799520212529</v>
      </c>
      <c r="T23">
        <f>MAX(Table1[OTD])</f>
        <v>1</v>
      </c>
      <c r="U23" t="str">
        <f>IF(Table1[[#This Row],[Vendor Score]]&gt;=90%,"Excellent",IF(Table1[[#This Row],[Vendor Score]]&gt;=75%,"Moderate","Poor"))</f>
        <v>Excellent</v>
      </c>
    </row>
    <row r="24" spans="1:21" x14ac:dyDescent="0.35">
      <c r="A24" t="s">
        <v>332</v>
      </c>
      <c r="B24" t="s">
        <v>38</v>
      </c>
      <c r="C24" t="s">
        <v>39</v>
      </c>
      <c r="D24" t="s">
        <v>14</v>
      </c>
      <c r="E24" t="s">
        <v>20</v>
      </c>
      <c r="F24">
        <v>3222</v>
      </c>
      <c r="G24">
        <v>3209</v>
      </c>
      <c r="H24" s="1">
        <v>46226</v>
      </c>
      <c r="I24" s="1">
        <v>46226</v>
      </c>
      <c r="J24">
        <v>65</v>
      </c>
      <c r="K24">
        <v>29</v>
      </c>
      <c r="L24">
        <f t="shared" si="0"/>
        <v>0</v>
      </c>
      <c r="M24" s="6">
        <f t="shared" si="1"/>
        <v>1</v>
      </c>
      <c r="N24" s="6">
        <f t="shared" si="2"/>
        <v>0.99596523898199874</v>
      </c>
      <c r="O24" s="6">
        <f t="shared" si="3"/>
        <v>0.97974446868183229</v>
      </c>
      <c r="P24">
        <f t="shared" si="4"/>
        <v>93061</v>
      </c>
      <c r="Q24" s="6">
        <f>MIN(Table1[Unit Price])/Table1[[#This Row],[Unit Price]]</f>
        <v>0.17241379310344829</v>
      </c>
      <c r="R24" s="8">
        <f>IF(Table1[[#This Row],[Delivery Delay]]&gt;0,1,0)</f>
        <v>0</v>
      </c>
      <c r="S24" s="6">
        <f>(Table1[[#This Row],[OTD]]*0.4)+(Table1[[#This Row],[Quality Rate]]*0.3)+(Table1[[#This Row],[Fill Rate]]*0.2)+(Table1[[#This Row],[Cost Score]]*0.1)</f>
        <v>0.9103577677112944</v>
      </c>
      <c r="T24">
        <f>MAX(Table1[OTD])</f>
        <v>1</v>
      </c>
      <c r="U24" t="str">
        <f>IF(Table1[[#This Row],[Vendor Score]]&gt;=90%,"Excellent",IF(Table1[[#This Row],[Vendor Score]]&gt;=75%,"Moderate","Poor"))</f>
        <v>Excellent</v>
      </c>
    </row>
    <row r="25" spans="1:21" x14ac:dyDescent="0.35">
      <c r="A25" t="s">
        <v>349</v>
      </c>
      <c r="B25" t="s">
        <v>30</v>
      </c>
      <c r="C25" t="s">
        <v>31</v>
      </c>
      <c r="D25" t="s">
        <v>19</v>
      </c>
      <c r="E25" t="s">
        <v>63</v>
      </c>
      <c r="F25">
        <v>3964</v>
      </c>
      <c r="G25">
        <v>3913</v>
      </c>
      <c r="H25" s="1">
        <v>46059</v>
      </c>
      <c r="I25" s="1">
        <v>46057</v>
      </c>
      <c r="J25">
        <v>123</v>
      </c>
      <c r="K25">
        <v>27</v>
      </c>
      <c r="L25">
        <f t="shared" si="0"/>
        <v>-2</v>
      </c>
      <c r="M25" s="6">
        <f t="shared" si="1"/>
        <v>1</v>
      </c>
      <c r="N25" s="6">
        <f t="shared" si="2"/>
        <v>0.9871342078708375</v>
      </c>
      <c r="O25" s="6">
        <f t="shared" si="3"/>
        <v>0.96856631740352672</v>
      </c>
      <c r="P25">
        <f t="shared" si="4"/>
        <v>105651</v>
      </c>
      <c r="Q25" s="6">
        <f>MIN(Table1[Unit Price])/Table1[[#This Row],[Unit Price]]</f>
        <v>0.18518518518518517</v>
      </c>
      <c r="R25" s="8">
        <f>IF(Table1[[#This Row],[Delivery Delay]]&gt;0,1,0)</f>
        <v>0</v>
      </c>
      <c r="S25" s="6">
        <f>(Table1[[#This Row],[OTD]]*0.4)+(Table1[[#This Row],[Quality Rate]]*0.3)+(Table1[[#This Row],[Fill Rate]]*0.2)+(Table1[[#This Row],[Cost Score]]*0.1)</f>
        <v>0.906515255313744</v>
      </c>
      <c r="T25">
        <f>MAX(Table1[OTD])</f>
        <v>1</v>
      </c>
      <c r="U25" t="str">
        <f>IF(Table1[[#This Row],[Vendor Score]]&gt;=90%,"Excellent",IF(Table1[[#This Row],[Vendor Score]]&gt;=75%,"Moderate","Poor"))</f>
        <v>Excellent</v>
      </c>
    </row>
    <row r="26" spans="1:21" x14ac:dyDescent="0.35">
      <c r="A26" t="s">
        <v>328</v>
      </c>
      <c r="B26" t="s">
        <v>26</v>
      </c>
      <c r="C26" t="s">
        <v>27</v>
      </c>
      <c r="D26" t="s">
        <v>14</v>
      </c>
      <c r="E26" t="s">
        <v>70</v>
      </c>
      <c r="F26">
        <v>2330</v>
      </c>
      <c r="G26">
        <v>2322</v>
      </c>
      <c r="H26" s="1">
        <v>46041</v>
      </c>
      <c r="I26" s="1">
        <v>46039</v>
      </c>
      <c r="J26">
        <v>27</v>
      </c>
      <c r="K26">
        <v>47</v>
      </c>
      <c r="L26">
        <f t="shared" si="0"/>
        <v>-2</v>
      </c>
      <c r="M26" s="6">
        <f t="shared" si="1"/>
        <v>1</v>
      </c>
      <c r="N26" s="6">
        <f t="shared" si="2"/>
        <v>0.99656652360515019</v>
      </c>
      <c r="O26" s="6">
        <f t="shared" si="3"/>
        <v>0.98837209302325579</v>
      </c>
      <c r="P26">
        <f t="shared" si="4"/>
        <v>109134</v>
      </c>
      <c r="Q26" s="6">
        <f>MIN(Table1[Unit Price])/Table1[[#This Row],[Unit Price]]</f>
        <v>0.10638297872340426</v>
      </c>
      <c r="R26" s="8">
        <f>IF(Table1[[#This Row],[Delivery Delay]]&gt;0,1,0)</f>
        <v>0</v>
      </c>
      <c r="S26" s="6">
        <f>(Table1[[#This Row],[OTD]]*0.4)+(Table1[[#This Row],[Quality Rate]]*0.3)+(Table1[[#This Row],[Fill Rate]]*0.2)+(Table1[[#This Row],[Cost Score]]*0.1)</f>
        <v>0.90646323050034716</v>
      </c>
      <c r="T26">
        <f>MAX(Table1[OTD])</f>
        <v>1</v>
      </c>
      <c r="U26" t="str">
        <f>IF(Table1[[#This Row],[Vendor Score]]&gt;=90%,"Excellent",IF(Table1[[#This Row],[Vendor Score]]&gt;=75%,"Moderate","Poor"))</f>
        <v>Excellent</v>
      </c>
    </row>
    <row r="27" spans="1:21" x14ac:dyDescent="0.35">
      <c r="A27" t="s">
        <v>170</v>
      </c>
      <c r="B27" t="s">
        <v>42</v>
      </c>
      <c r="C27" t="s">
        <v>43</v>
      </c>
      <c r="D27" t="s">
        <v>55</v>
      </c>
      <c r="E27" t="s">
        <v>57</v>
      </c>
      <c r="F27">
        <v>875</v>
      </c>
      <c r="G27">
        <v>865</v>
      </c>
      <c r="H27" s="1">
        <v>46309</v>
      </c>
      <c r="I27" s="1">
        <v>46308</v>
      </c>
      <c r="J27">
        <v>10</v>
      </c>
      <c r="K27">
        <v>49</v>
      </c>
      <c r="L27">
        <f t="shared" si="0"/>
        <v>-1</v>
      </c>
      <c r="M27" s="6">
        <f t="shared" si="1"/>
        <v>1</v>
      </c>
      <c r="N27" s="6">
        <f t="shared" si="2"/>
        <v>0.98857142857142855</v>
      </c>
      <c r="O27" s="6">
        <f t="shared" si="3"/>
        <v>0.98843930635838151</v>
      </c>
      <c r="P27">
        <f t="shared" si="4"/>
        <v>42385</v>
      </c>
      <c r="Q27" s="6">
        <f>MIN(Table1[Unit Price])/Table1[[#This Row],[Unit Price]]</f>
        <v>0.10204081632653061</v>
      </c>
      <c r="R27" s="8">
        <f>IF(Table1[[#This Row],[Delivery Delay]]&gt;0,1,0)</f>
        <v>0</v>
      </c>
      <c r="S27" s="6">
        <f>(Table1[[#This Row],[OTD]]*0.4)+(Table1[[#This Row],[Quality Rate]]*0.3)+(Table1[[#This Row],[Fill Rate]]*0.2)+(Table1[[#This Row],[Cost Score]]*0.1)</f>
        <v>0.90445015925445327</v>
      </c>
      <c r="T27">
        <f>MAX(Table1[OTD])</f>
        <v>1</v>
      </c>
      <c r="U27" t="str">
        <f>IF(Table1[[#This Row],[Vendor Score]]&gt;=90%,"Excellent",IF(Table1[[#This Row],[Vendor Score]]&gt;=75%,"Moderate","Poor"))</f>
        <v>Excellent</v>
      </c>
    </row>
    <row r="28" spans="1:21" x14ac:dyDescent="0.35">
      <c r="A28" t="s">
        <v>295</v>
      </c>
      <c r="B28" t="s">
        <v>38</v>
      </c>
      <c r="C28" t="s">
        <v>39</v>
      </c>
      <c r="D28" t="s">
        <v>14</v>
      </c>
      <c r="E28" t="s">
        <v>52</v>
      </c>
      <c r="F28">
        <v>2014</v>
      </c>
      <c r="G28">
        <v>1881</v>
      </c>
      <c r="H28" s="1">
        <v>46088</v>
      </c>
      <c r="I28" s="1">
        <v>46086</v>
      </c>
      <c r="J28">
        <v>39</v>
      </c>
      <c r="K28">
        <v>21</v>
      </c>
      <c r="L28">
        <f t="shared" si="0"/>
        <v>-2</v>
      </c>
      <c r="M28" s="6">
        <f t="shared" si="1"/>
        <v>1</v>
      </c>
      <c r="N28" s="6">
        <f t="shared" si="2"/>
        <v>0.93396226415094341</v>
      </c>
      <c r="O28" s="6">
        <f t="shared" si="3"/>
        <v>0.97926634768740028</v>
      </c>
      <c r="P28">
        <f t="shared" si="4"/>
        <v>39501</v>
      </c>
      <c r="Q28" s="6">
        <f>MIN(Table1[Unit Price])/Table1[[#This Row],[Unit Price]]</f>
        <v>0.23809523809523808</v>
      </c>
      <c r="R28" s="8">
        <f>IF(Table1[[#This Row],[Delivery Delay]]&gt;0,1,0)</f>
        <v>0</v>
      </c>
      <c r="S28" s="6">
        <f>(Table1[[#This Row],[OTD]]*0.4)+(Table1[[#This Row],[Quality Rate]]*0.3)+(Table1[[#This Row],[Fill Rate]]*0.2)+(Table1[[#This Row],[Cost Score]]*0.1)</f>
        <v>0.90438188094593264</v>
      </c>
      <c r="T28">
        <f>MAX(Table1[OTD])</f>
        <v>1</v>
      </c>
      <c r="U28" t="str">
        <f>IF(Table1[[#This Row],[Vendor Score]]&gt;=90%,"Excellent",IF(Table1[[#This Row],[Vendor Score]]&gt;=75%,"Moderate","Poor"))</f>
        <v>Excellent</v>
      </c>
    </row>
    <row r="29" spans="1:21" x14ac:dyDescent="0.35">
      <c r="A29" t="s">
        <v>204</v>
      </c>
      <c r="B29" t="s">
        <v>12</v>
      </c>
      <c r="C29" t="s">
        <v>13</v>
      </c>
      <c r="D29" t="s">
        <v>19</v>
      </c>
      <c r="E29" t="s">
        <v>24</v>
      </c>
      <c r="F29">
        <v>1635</v>
      </c>
      <c r="G29">
        <v>1624</v>
      </c>
      <c r="H29" s="1">
        <v>46172</v>
      </c>
      <c r="I29" s="1">
        <v>46172</v>
      </c>
      <c r="J29">
        <v>195</v>
      </c>
      <c r="K29">
        <v>12</v>
      </c>
      <c r="L29">
        <f t="shared" si="0"/>
        <v>0</v>
      </c>
      <c r="M29" s="6">
        <f t="shared" si="1"/>
        <v>1</v>
      </c>
      <c r="N29" s="6">
        <f t="shared" si="2"/>
        <v>0.99327217125382261</v>
      </c>
      <c r="O29" s="6">
        <f t="shared" si="3"/>
        <v>0.87992610837438423</v>
      </c>
      <c r="P29">
        <f t="shared" si="4"/>
        <v>19488</v>
      </c>
      <c r="Q29" s="6">
        <f>MIN(Table1[Unit Price])/Table1[[#This Row],[Unit Price]]</f>
        <v>0.41666666666666669</v>
      </c>
      <c r="R29" s="8">
        <f>IF(Table1[[#This Row],[Delivery Delay]]&gt;0,1,0)</f>
        <v>0</v>
      </c>
      <c r="S29" s="6">
        <f>(Table1[[#This Row],[OTD]]*0.4)+(Table1[[#This Row],[Quality Rate]]*0.3)+(Table1[[#This Row],[Fill Rate]]*0.2)+(Table1[[#This Row],[Cost Score]]*0.1)</f>
        <v>0.90429893342974654</v>
      </c>
      <c r="T29">
        <f>MAX(Table1[OTD])</f>
        <v>1</v>
      </c>
      <c r="U29" t="str">
        <f>IF(Table1[[#This Row],[Vendor Score]]&gt;=90%,"Excellent",IF(Table1[[#This Row],[Vendor Score]]&gt;=75%,"Moderate","Poor"))</f>
        <v>Excellent</v>
      </c>
    </row>
    <row r="30" spans="1:21" x14ac:dyDescent="0.35">
      <c r="A30" t="s">
        <v>297</v>
      </c>
      <c r="B30" t="s">
        <v>26</v>
      </c>
      <c r="C30" t="s">
        <v>27</v>
      </c>
      <c r="D30" t="s">
        <v>33</v>
      </c>
      <c r="E30" t="s">
        <v>63</v>
      </c>
      <c r="F30">
        <v>4080</v>
      </c>
      <c r="G30">
        <v>3891</v>
      </c>
      <c r="H30" s="1">
        <v>46072</v>
      </c>
      <c r="I30" s="1">
        <v>46070</v>
      </c>
      <c r="J30">
        <v>41</v>
      </c>
      <c r="K30">
        <v>31</v>
      </c>
      <c r="L30">
        <f t="shared" si="0"/>
        <v>-2</v>
      </c>
      <c r="M30" s="6">
        <f t="shared" si="1"/>
        <v>1</v>
      </c>
      <c r="N30" s="6">
        <f t="shared" si="2"/>
        <v>0.95367647058823535</v>
      </c>
      <c r="O30" s="6">
        <f t="shared" si="3"/>
        <v>0.9894628630172192</v>
      </c>
      <c r="P30">
        <f t="shared" si="4"/>
        <v>120621</v>
      </c>
      <c r="Q30" s="6">
        <f>MIN(Table1[Unit Price])/Table1[[#This Row],[Unit Price]]</f>
        <v>0.16129032258064516</v>
      </c>
      <c r="R30" s="8">
        <f>IF(Table1[[#This Row],[Delivery Delay]]&gt;0,1,0)</f>
        <v>0</v>
      </c>
      <c r="S30" s="6">
        <f>(Table1[[#This Row],[OTD]]*0.4)+(Table1[[#This Row],[Quality Rate]]*0.3)+(Table1[[#This Row],[Fill Rate]]*0.2)+(Table1[[#This Row],[Cost Score]]*0.1)</f>
        <v>0.90370318528087734</v>
      </c>
      <c r="T30">
        <f>MAX(Table1[OTD])</f>
        <v>1</v>
      </c>
      <c r="U30" t="str">
        <f>IF(Table1[[#This Row],[Vendor Score]]&gt;=90%,"Excellent",IF(Table1[[#This Row],[Vendor Score]]&gt;=75%,"Moderate","Poor"))</f>
        <v>Excellent</v>
      </c>
    </row>
    <row r="31" spans="1:21" x14ac:dyDescent="0.35">
      <c r="A31" t="s">
        <v>479</v>
      </c>
      <c r="B31" t="s">
        <v>38</v>
      </c>
      <c r="C31" t="s">
        <v>39</v>
      </c>
      <c r="D31" t="s">
        <v>33</v>
      </c>
      <c r="E31" t="s">
        <v>57</v>
      </c>
      <c r="F31">
        <v>2987</v>
      </c>
      <c r="G31">
        <v>2935</v>
      </c>
      <c r="H31" s="1">
        <v>46306</v>
      </c>
      <c r="I31" s="1">
        <v>46305</v>
      </c>
      <c r="J31">
        <v>59</v>
      </c>
      <c r="K31">
        <v>38</v>
      </c>
      <c r="L31">
        <f t="shared" si="0"/>
        <v>-1</v>
      </c>
      <c r="M31" s="6">
        <f t="shared" si="1"/>
        <v>1</v>
      </c>
      <c r="N31" s="6">
        <f t="shared" si="2"/>
        <v>0.98259122865751591</v>
      </c>
      <c r="O31" s="6">
        <f t="shared" si="3"/>
        <v>0.97989778534923344</v>
      </c>
      <c r="P31">
        <f t="shared" si="4"/>
        <v>111530</v>
      </c>
      <c r="Q31" s="6">
        <f>MIN(Table1[Unit Price])/Table1[[#This Row],[Unit Price]]</f>
        <v>0.13157894736842105</v>
      </c>
      <c r="R31" s="8">
        <f>IF(Table1[[#This Row],[Delivery Delay]]&gt;0,1,0)</f>
        <v>0</v>
      </c>
      <c r="S31" s="6">
        <f>(Table1[[#This Row],[OTD]]*0.4)+(Table1[[#This Row],[Quality Rate]]*0.3)+(Table1[[#This Row],[Fill Rate]]*0.2)+(Table1[[#This Row],[Cost Score]]*0.1)</f>
        <v>0.90364547607311541</v>
      </c>
      <c r="T31">
        <f>MAX(Table1[OTD])</f>
        <v>1</v>
      </c>
      <c r="U31" t="str">
        <f>IF(Table1[[#This Row],[Vendor Score]]&gt;=90%,"Excellent",IF(Table1[[#This Row],[Vendor Score]]&gt;=75%,"Moderate","Poor"))</f>
        <v>Excellent</v>
      </c>
    </row>
    <row r="32" spans="1:21" x14ac:dyDescent="0.35">
      <c r="A32" t="s">
        <v>487</v>
      </c>
      <c r="B32" t="s">
        <v>26</v>
      </c>
      <c r="C32" t="s">
        <v>27</v>
      </c>
      <c r="D32" t="s">
        <v>19</v>
      </c>
      <c r="E32" t="s">
        <v>47</v>
      </c>
      <c r="F32">
        <v>1304</v>
      </c>
      <c r="G32">
        <v>1208</v>
      </c>
      <c r="H32" s="1">
        <v>46334</v>
      </c>
      <c r="I32" s="1">
        <v>46332</v>
      </c>
      <c r="J32">
        <v>18</v>
      </c>
      <c r="K32">
        <v>22</v>
      </c>
      <c r="L32">
        <f t="shared" si="0"/>
        <v>-2</v>
      </c>
      <c r="M32" s="6">
        <f t="shared" si="1"/>
        <v>1</v>
      </c>
      <c r="N32" s="6">
        <f t="shared" si="2"/>
        <v>0.92638036809815949</v>
      </c>
      <c r="O32" s="6">
        <f t="shared" si="3"/>
        <v>0.98509933774834435</v>
      </c>
      <c r="P32">
        <f t="shared" si="4"/>
        <v>26576</v>
      </c>
      <c r="Q32" s="6">
        <f>MIN(Table1[Unit Price])/Table1[[#This Row],[Unit Price]]</f>
        <v>0.22727272727272727</v>
      </c>
      <c r="R32" s="8">
        <f>IF(Table1[[#This Row],[Delivery Delay]]&gt;0,1,0)</f>
        <v>0</v>
      </c>
      <c r="S32" s="6">
        <f>(Table1[[#This Row],[OTD]]*0.4)+(Table1[[#This Row],[Quality Rate]]*0.3)+(Table1[[#This Row],[Fill Rate]]*0.2)+(Table1[[#This Row],[Cost Score]]*0.1)</f>
        <v>0.90353314767140791</v>
      </c>
      <c r="T32">
        <f>MAX(Table1[OTD])</f>
        <v>1</v>
      </c>
      <c r="U32" t="str">
        <f>IF(Table1[[#This Row],[Vendor Score]]&gt;=90%,"Excellent",IF(Table1[[#This Row],[Vendor Score]]&gt;=75%,"Moderate","Poor"))</f>
        <v>Excellent</v>
      </c>
    </row>
    <row r="33" spans="1:21" x14ac:dyDescent="0.35">
      <c r="A33" t="s">
        <v>342</v>
      </c>
      <c r="B33" t="s">
        <v>42</v>
      </c>
      <c r="C33" t="s">
        <v>43</v>
      </c>
      <c r="D33" t="s">
        <v>19</v>
      </c>
      <c r="E33" t="s">
        <v>40</v>
      </c>
      <c r="F33">
        <v>1267</v>
      </c>
      <c r="G33">
        <v>1257</v>
      </c>
      <c r="H33" s="1">
        <v>46254</v>
      </c>
      <c r="I33" s="1">
        <v>46254</v>
      </c>
      <c r="J33">
        <v>13</v>
      </c>
      <c r="K33">
        <v>61</v>
      </c>
      <c r="L33">
        <f t="shared" si="0"/>
        <v>0</v>
      </c>
      <c r="M33" s="6">
        <f t="shared" si="1"/>
        <v>1</v>
      </c>
      <c r="N33" s="6">
        <f t="shared" si="2"/>
        <v>0.99210734017363855</v>
      </c>
      <c r="O33" s="6">
        <f t="shared" si="3"/>
        <v>0.98965791567223549</v>
      </c>
      <c r="P33">
        <f t="shared" si="4"/>
        <v>76677</v>
      </c>
      <c r="Q33" s="6">
        <f>MIN(Table1[Unit Price])/Table1[[#This Row],[Unit Price]]</f>
        <v>8.1967213114754092E-2</v>
      </c>
      <c r="R33" s="8">
        <f>IF(Table1[[#This Row],[Delivery Delay]]&gt;0,1,0)</f>
        <v>0</v>
      </c>
      <c r="S33" s="6">
        <f>(Table1[[#This Row],[OTD]]*0.4)+(Table1[[#This Row],[Quality Rate]]*0.3)+(Table1[[#This Row],[Fill Rate]]*0.2)+(Table1[[#This Row],[Cost Score]]*0.1)</f>
        <v>0.90351556404787381</v>
      </c>
      <c r="T33">
        <f>MAX(Table1[OTD])</f>
        <v>1</v>
      </c>
      <c r="U33" t="str">
        <f>IF(Table1[[#This Row],[Vendor Score]]&gt;=90%,"Excellent",IF(Table1[[#This Row],[Vendor Score]]&gt;=75%,"Moderate","Poor"))</f>
        <v>Excellent</v>
      </c>
    </row>
    <row r="34" spans="1:21" x14ac:dyDescent="0.35">
      <c r="A34" t="s">
        <v>386</v>
      </c>
      <c r="B34" t="s">
        <v>42</v>
      </c>
      <c r="C34" t="s">
        <v>43</v>
      </c>
      <c r="D34" t="s">
        <v>19</v>
      </c>
      <c r="E34" t="s">
        <v>15</v>
      </c>
      <c r="F34">
        <v>3219</v>
      </c>
      <c r="G34">
        <v>3180</v>
      </c>
      <c r="H34" s="1">
        <v>46370</v>
      </c>
      <c r="I34" s="1">
        <v>46370</v>
      </c>
      <c r="J34">
        <v>34</v>
      </c>
      <c r="K34">
        <v>55</v>
      </c>
      <c r="L34">
        <f t="shared" si="0"/>
        <v>0</v>
      </c>
      <c r="M34" s="6">
        <f t="shared" si="1"/>
        <v>1</v>
      </c>
      <c r="N34" s="6">
        <f t="shared" si="2"/>
        <v>0.9878844361602982</v>
      </c>
      <c r="O34" s="6">
        <f t="shared" si="3"/>
        <v>0.98930817610062893</v>
      </c>
      <c r="P34">
        <f t="shared" si="4"/>
        <v>174900</v>
      </c>
      <c r="Q34" s="6">
        <f>MIN(Table1[Unit Price])/Table1[[#This Row],[Unit Price]]</f>
        <v>9.0909090909090912E-2</v>
      </c>
      <c r="R34" s="8">
        <f>IF(Table1[[#This Row],[Delivery Delay]]&gt;0,1,0)</f>
        <v>0</v>
      </c>
      <c r="S34" s="6">
        <f>(Table1[[#This Row],[OTD]]*0.4)+(Table1[[#This Row],[Quality Rate]]*0.3)+(Table1[[#This Row],[Fill Rate]]*0.2)+(Table1[[#This Row],[Cost Score]]*0.1)</f>
        <v>0.90346024915315748</v>
      </c>
      <c r="T34">
        <f>MAX(Table1[OTD])</f>
        <v>1</v>
      </c>
      <c r="U34" t="str">
        <f>IF(Table1[[#This Row],[Vendor Score]]&gt;=90%,"Excellent",IF(Table1[[#This Row],[Vendor Score]]&gt;=75%,"Moderate","Poor"))</f>
        <v>Excellent</v>
      </c>
    </row>
    <row r="35" spans="1:21" x14ac:dyDescent="0.35">
      <c r="A35" t="s">
        <v>453</v>
      </c>
      <c r="B35" t="s">
        <v>26</v>
      </c>
      <c r="C35" t="s">
        <v>27</v>
      </c>
      <c r="D35" t="s">
        <v>19</v>
      </c>
      <c r="E35" t="s">
        <v>70</v>
      </c>
      <c r="F35">
        <v>1149</v>
      </c>
      <c r="G35">
        <v>1112</v>
      </c>
      <c r="H35" s="1">
        <v>46029</v>
      </c>
      <c r="I35" s="1">
        <v>46028</v>
      </c>
      <c r="J35">
        <v>14</v>
      </c>
      <c r="K35">
        <v>42</v>
      </c>
      <c r="L35">
        <f t="shared" si="0"/>
        <v>-1</v>
      </c>
      <c r="M35" s="6">
        <f t="shared" si="1"/>
        <v>1</v>
      </c>
      <c r="N35" s="6">
        <f t="shared" si="2"/>
        <v>0.96779808529155786</v>
      </c>
      <c r="O35" s="6">
        <f t="shared" si="3"/>
        <v>0.98741007194244601</v>
      </c>
      <c r="P35">
        <f t="shared" si="4"/>
        <v>46704</v>
      </c>
      <c r="Q35" s="6">
        <f>MIN(Table1[Unit Price])/Table1[[#This Row],[Unit Price]]</f>
        <v>0.11904761904761904</v>
      </c>
      <c r="R35" s="8">
        <f>IF(Table1[[#This Row],[Delivery Delay]]&gt;0,1,0)</f>
        <v>0</v>
      </c>
      <c r="S35" s="6">
        <f>(Table1[[#This Row],[OTD]]*0.4)+(Table1[[#This Row],[Quality Rate]]*0.3)+(Table1[[#This Row],[Fill Rate]]*0.2)+(Table1[[#This Row],[Cost Score]]*0.1)</f>
        <v>0.90168740054580732</v>
      </c>
      <c r="T35">
        <f>MAX(Table1[OTD])</f>
        <v>1</v>
      </c>
      <c r="U35" t="str">
        <f>IF(Table1[[#This Row],[Vendor Score]]&gt;=90%,"Excellent",IF(Table1[[#This Row],[Vendor Score]]&gt;=75%,"Moderate","Poor"))</f>
        <v>Excellent</v>
      </c>
    </row>
    <row r="36" spans="1:21" x14ac:dyDescent="0.35">
      <c r="A36" t="s">
        <v>301</v>
      </c>
      <c r="B36" t="s">
        <v>26</v>
      </c>
      <c r="C36" t="s">
        <v>27</v>
      </c>
      <c r="D36" t="s">
        <v>55</v>
      </c>
      <c r="E36" t="s">
        <v>63</v>
      </c>
      <c r="F36">
        <v>1485</v>
      </c>
      <c r="G36">
        <v>1459</v>
      </c>
      <c r="H36" s="1">
        <v>46059</v>
      </c>
      <c r="I36" s="1">
        <v>46058</v>
      </c>
      <c r="J36">
        <v>19</v>
      </c>
      <c r="K36">
        <v>55</v>
      </c>
      <c r="L36">
        <f t="shared" si="0"/>
        <v>-1</v>
      </c>
      <c r="M36" s="6">
        <f t="shared" si="1"/>
        <v>1</v>
      </c>
      <c r="N36" s="6">
        <f t="shared" si="2"/>
        <v>0.98249158249158253</v>
      </c>
      <c r="O36" s="6">
        <f t="shared" si="3"/>
        <v>0.98697738176833449</v>
      </c>
      <c r="P36">
        <f t="shared" si="4"/>
        <v>80245</v>
      </c>
      <c r="Q36" s="6">
        <f>MIN(Table1[Unit Price])/Table1[[#This Row],[Unit Price]]</f>
        <v>9.0909090909090912E-2</v>
      </c>
      <c r="R36" s="8">
        <f>IF(Table1[[#This Row],[Delivery Delay]]&gt;0,1,0)</f>
        <v>0</v>
      </c>
      <c r="S36" s="6">
        <f>(Table1[[#This Row],[OTD]]*0.4)+(Table1[[#This Row],[Quality Rate]]*0.3)+(Table1[[#This Row],[Fill Rate]]*0.2)+(Table1[[#This Row],[Cost Score]]*0.1)</f>
        <v>0.90168244011972587</v>
      </c>
      <c r="T36">
        <f>MAX(Table1[OTD])</f>
        <v>1</v>
      </c>
      <c r="U36" t="str">
        <f>IF(Table1[[#This Row],[Vendor Score]]&gt;=90%,"Excellent",IF(Table1[[#This Row],[Vendor Score]]&gt;=75%,"Moderate","Poor"))</f>
        <v>Excellent</v>
      </c>
    </row>
    <row r="37" spans="1:21" x14ac:dyDescent="0.35">
      <c r="A37" t="s">
        <v>192</v>
      </c>
      <c r="B37" t="s">
        <v>78</v>
      </c>
      <c r="C37" t="s">
        <v>79</v>
      </c>
      <c r="D37" t="s">
        <v>14</v>
      </c>
      <c r="E37" t="s">
        <v>15</v>
      </c>
      <c r="F37">
        <v>2911</v>
      </c>
      <c r="G37">
        <v>2823</v>
      </c>
      <c r="H37" s="1">
        <v>46382</v>
      </c>
      <c r="I37" s="1">
        <v>46382</v>
      </c>
      <c r="J37">
        <v>143</v>
      </c>
      <c r="K37">
        <v>22</v>
      </c>
      <c r="L37">
        <f t="shared" si="0"/>
        <v>0</v>
      </c>
      <c r="M37" s="6">
        <f t="shared" si="1"/>
        <v>1</v>
      </c>
      <c r="N37" s="6">
        <f t="shared" si="2"/>
        <v>0.96976983854345589</v>
      </c>
      <c r="O37" s="6">
        <f t="shared" si="3"/>
        <v>0.94934466879206514</v>
      </c>
      <c r="P37">
        <f t="shared" si="4"/>
        <v>62106</v>
      </c>
      <c r="Q37" s="6">
        <f>MIN(Table1[Unit Price])/Table1[[#This Row],[Unit Price]]</f>
        <v>0.22727272727272727</v>
      </c>
      <c r="R37" s="8">
        <f>IF(Table1[[#This Row],[Delivery Delay]]&gt;0,1,0)</f>
        <v>0</v>
      </c>
      <c r="S37" s="6">
        <f>(Table1[[#This Row],[OTD]]*0.4)+(Table1[[#This Row],[Quality Rate]]*0.3)+(Table1[[#This Row],[Fill Rate]]*0.2)+(Table1[[#This Row],[Cost Score]]*0.1)</f>
        <v>0.9014846410735835</v>
      </c>
      <c r="T37">
        <f>MAX(Table1[OTD])</f>
        <v>1</v>
      </c>
      <c r="U37" t="str">
        <f>IF(Table1[[#This Row],[Vendor Score]]&gt;=90%,"Excellent",IF(Table1[[#This Row],[Vendor Score]]&gt;=75%,"Moderate","Poor"))</f>
        <v>Excellent</v>
      </c>
    </row>
    <row r="38" spans="1:21" x14ac:dyDescent="0.35">
      <c r="A38" t="s">
        <v>113</v>
      </c>
      <c r="B38" t="s">
        <v>42</v>
      </c>
      <c r="C38" t="s">
        <v>43</v>
      </c>
      <c r="D38" t="s">
        <v>14</v>
      </c>
      <c r="E38" t="s">
        <v>40</v>
      </c>
      <c r="F38">
        <v>4730</v>
      </c>
      <c r="G38">
        <v>4667</v>
      </c>
      <c r="H38" s="1">
        <v>46243</v>
      </c>
      <c r="I38" s="1">
        <v>46243</v>
      </c>
      <c r="J38">
        <v>47</v>
      </c>
      <c r="K38">
        <v>70</v>
      </c>
      <c r="L38">
        <f t="shared" si="0"/>
        <v>0</v>
      </c>
      <c r="M38" s="6">
        <f t="shared" si="1"/>
        <v>1</v>
      </c>
      <c r="N38" s="6">
        <f t="shared" si="2"/>
        <v>0.98668076109936576</v>
      </c>
      <c r="O38" s="6">
        <f t="shared" si="3"/>
        <v>0.9899292907649454</v>
      </c>
      <c r="P38">
        <f t="shared" si="4"/>
        <v>326690</v>
      </c>
      <c r="Q38" s="6">
        <f>MIN(Table1[Unit Price])/Table1[[#This Row],[Unit Price]]</f>
        <v>7.1428571428571425E-2</v>
      </c>
      <c r="R38" s="8">
        <f>IF(Table1[[#This Row],[Delivery Delay]]&gt;0,1,0)</f>
        <v>0</v>
      </c>
      <c r="S38" s="6">
        <f>(Table1[[#This Row],[OTD]]*0.4)+(Table1[[#This Row],[Quality Rate]]*0.3)+(Table1[[#This Row],[Fill Rate]]*0.2)+(Table1[[#This Row],[Cost Score]]*0.1)</f>
        <v>0.90145779659221392</v>
      </c>
      <c r="T38">
        <f>MAX(Table1[OTD])</f>
        <v>1</v>
      </c>
      <c r="U38" t="str">
        <f>IF(Table1[[#This Row],[Vendor Score]]&gt;=90%,"Excellent",IF(Table1[[#This Row],[Vendor Score]]&gt;=75%,"Moderate","Poor"))</f>
        <v>Excellent</v>
      </c>
    </row>
    <row r="39" spans="1:21" x14ac:dyDescent="0.35">
      <c r="A39" t="s">
        <v>417</v>
      </c>
      <c r="B39" t="s">
        <v>38</v>
      </c>
      <c r="C39" t="s">
        <v>39</v>
      </c>
      <c r="D39" t="s">
        <v>14</v>
      </c>
      <c r="E39" t="s">
        <v>57</v>
      </c>
      <c r="F39">
        <v>3188</v>
      </c>
      <c r="G39">
        <v>3158</v>
      </c>
      <c r="H39" s="1">
        <v>46304</v>
      </c>
      <c r="I39" s="1">
        <v>46302</v>
      </c>
      <c r="J39">
        <v>64</v>
      </c>
      <c r="K39">
        <v>56</v>
      </c>
      <c r="L39">
        <f t="shared" si="0"/>
        <v>-2</v>
      </c>
      <c r="M39" s="6">
        <f t="shared" si="1"/>
        <v>1</v>
      </c>
      <c r="N39" s="6">
        <f t="shared" si="2"/>
        <v>0.99058971141781682</v>
      </c>
      <c r="O39" s="6">
        <f t="shared" si="3"/>
        <v>0.97973400886637108</v>
      </c>
      <c r="P39">
        <f t="shared" si="4"/>
        <v>176848</v>
      </c>
      <c r="Q39" s="6">
        <f>MIN(Table1[Unit Price])/Table1[[#This Row],[Unit Price]]</f>
        <v>8.9285714285714288E-2</v>
      </c>
      <c r="R39" s="8">
        <f>IF(Table1[[#This Row],[Delivery Delay]]&gt;0,1,0)</f>
        <v>0</v>
      </c>
      <c r="S39" s="6">
        <f>(Table1[[#This Row],[OTD]]*0.4)+(Table1[[#This Row],[Quality Rate]]*0.3)+(Table1[[#This Row],[Fill Rate]]*0.2)+(Table1[[#This Row],[Cost Score]]*0.1)</f>
        <v>0.90096671637204617</v>
      </c>
      <c r="T39">
        <f>MAX(Table1[OTD])</f>
        <v>1</v>
      </c>
      <c r="U39" t="str">
        <f>IF(Table1[[#This Row],[Vendor Score]]&gt;=90%,"Excellent",IF(Table1[[#This Row],[Vendor Score]]&gt;=75%,"Moderate","Poor"))</f>
        <v>Excellent</v>
      </c>
    </row>
    <row r="40" spans="1:21" x14ac:dyDescent="0.35">
      <c r="A40" t="s">
        <v>244</v>
      </c>
      <c r="B40" t="s">
        <v>38</v>
      </c>
      <c r="C40" t="s">
        <v>39</v>
      </c>
      <c r="D40" t="s">
        <v>14</v>
      </c>
      <c r="E40" t="s">
        <v>28</v>
      </c>
      <c r="F40">
        <v>1659</v>
      </c>
      <c r="G40">
        <v>1631</v>
      </c>
      <c r="H40" s="1">
        <v>46267</v>
      </c>
      <c r="I40" s="1">
        <v>46265</v>
      </c>
      <c r="J40">
        <v>35</v>
      </c>
      <c r="K40">
        <v>49</v>
      </c>
      <c r="L40">
        <f t="shared" si="0"/>
        <v>-2</v>
      </c>
      <c r="M40" s="6">
        <f t="shared" si="1"/>
        <v>1</v>
      </c>
      <c r="N40" s="6">
        <f t="shared" si="2"/>
        <v>0.9831223628691983</v>
      </c>
      <c r="O40" s="6">
        <f t="shared" si="3"/>
        <v>0.97854077253218885</v>
      </c>
      <c r="P40">
        <f t="shared" si="4"/>
        <v>79919</v>
      </c>
      <c r="Q40" s="6">
        <f>MIN(Table1[Unit Price])/Table1[[#This Row],[Unit Price]]</f>
        <v>0.10204081632653061</v>
      </c>
      <c r="R40" s="8">
        <f>IF(Table1[[#This Row],[Delivery Delay]]&gt;0,1,0)</f>
        <v>0</v>
      </c>
      <c r="S40" s="6">
        <f>(Table1[[#This Row],[OTD]]*0.4)+(Table1[[#This Row],[Quality Rate]]*0.3)+(Table1[[#This Row],[Fill Rate]]*0.2)+(Table1[[#This Row],[Cost Score]]*0.1)</f>
        <v>0.9003907859661493</v>
      </c>
      <c r="T40">
        <f>MAX(Table1[OTD])</f>
        <v>1</v>
      </c>
      <c r="U40" t="str">
        <f>IF(Table1[[#This Row],[Vendor Score]]&gt;=90%,"Excellent",IF(Table1[[#This Row],[Vendor Score]]&gt;=75%,"Moderate","Poor"))</f>
        <v>Excellent</v>
      </c>
    </row>
    <row r="41" spans="1:21" x14ac:dyDescent="0.35">
      <c r="A41" t="s">
        <v>291</v>
      </c>
      <c r="B41" t="s">
        <v>38</v>
      </c>
      <c r="C41" t="s">
        <v>39</v>
      </c>
      <c r="D41" t="s">
        <v>55</v>
      </c>
      <c r="E41" t="s">
        <v>34</v>
      </c>
      <c r="F41">
        <v>3295</v>
      </c>
      <c r="G41">
        <v>3150</v>
      </c>
      <c r="H41" s="1">
        <v>46195</v>
      </c>
      <c r="I41" s="1">
        <v>46195</v>
      </c>
      <c r="J41">
        <v>65</v>
      </c>
      <c r="K41">
        <v>33</v>
      </c>
      <c r="L41">
        <f t="shared" si="0"/>
        <v>0</v>
      </c>
      <c r="M41" s="6">
        <f t="shared" si="1"/>
        <v>1</v>
      </c>
      <c r="N41" s="6">
        <f t="shared" si="2"/>
        <v>0.95599393019726864</v>
      </c>
      <c r="O41" s="6">
        <f t="shared" si="3"/>
        <v>0.97936507936507933</v>
      </c>
      <c r="P41">
        <f t="shared" si="4"/>
        <v>103950</v>
      </c>
      <c r="Q41" s="6">
        <f>MIN(Table1[Unit Price])/Table1[[#This Row],[Unit Price]]</f>
        <v>0.15151515151515152</v>
      </c>
      <c r="R41" s="8">
        <f>IF(Table1[[#This Row],[Delivery Delay]]&gt;0,1,0)</f>
        <v>0</v>
      </c>
      <c r="S41" s="6">
        <f>(Table1[[#This Row],[OTD]]*0.4)+(Table1[[#This Row],[Quality Rate]]*0.3)+(Table1[[#This Row],[Fill Rate]]*0.2)+(Table1[[#This Row],[Cost Score]]*0.1)</f>
        <v>0.90015982500049274</v>
      </c>
      <c r="T41">
        <f>MAX(Table1[OTD])</f>
        <v>1</v>
      </c>
      <c r="U41" t="str">
        <f>IF(Table1[[#This Row],[Vendor Score]]&gt;=90%,"Excellent",IF(Table1[[#This Row],[Vendor Score]]&gt;=75%,"Moderate","Poor"))</f>
        <v>Excellent</v>
      </c>
    </row>
    <row r="42" spans="1:21" x14ac:dyDescent="0.35">
      <c r="A42" t="s">
        <v>62</v>
      </c>
      <c r="B42" t="s">
        <v>42</v>
      </c>
      <c r="C42" t="s">
        <v>43</v>
      </c>
      <c r="D42" t="s">
        <v>14</v>
      </c>
      <c r="E42" t="s">
        <v>63</v>
      </c>
      <c r="F42">
        <v>1066</v>
      </c>
      <c r="G42">
        <v>1065</v>
      </c>
      <c r="H42" s="1">
        <v>46080</v>
      </c>
      <c r="I42" s="1">
        <v>46080</v>
      </c>
      <c r="J42">
        <v>16</v>
      </c>
      <c r="K42">
        <v>104</v>
      </c>
      <c r="L42">
        <f t="shared" si="0"/>
        <v>0</v>
      </c>
      <c r="M42" s="6">
        <f t="shared" si="1"/>
        <v>1</v>
      </c>
      <c r="N42" s="6">
        <f t="shared" si="2"/>
        <v>0.99906191369606001</v>
      </c>
      <c r="O42" s="6">
        <f t="shared" si="3"/>
        <v>0.98497652582159623</v>
      </c>
      <c r="P42">
        <f t="shared" si="4"/>
        <v>110760</v>
      </c>
      <c r="Q42" s="6">
        <f>MIN(Table1[Unit Price])/Table1[[#This Row],[Unit Price]]</f>
        <v>4.807692307692308E-2</v>
      </c>
      <c r="R42" s="8">
        <f>IF(Table1[[#This Row],[Delivery Delay]]&gt;0,1,0)</f>
        <v>0</v>
      </c>
      <c r="S42" s="6">
        <f>(Table1[[#This Row],[OTD]]*0.4)+(Table1[[#This Row],[Quality Rate]]*0.3)+(Table1[[#This Row],[Fill Rate]]*0.2)+(Table1[[#This Row],[Cost Score]]*0.1)</f>
        <v>0.90011303279338317</v>
      </c>
      <c r="T42">
        <f>MAX(Table1[OTD])</f>
        <v>1</v>
      </c>
      <c r="U42" t="str">
        <f>IF(Table1[[#This Row],[Vendor Score]]&gt;=90%,"Excellent",IF(Table1[[#This Row],[Vendor Score]]&gt;=75%,"Moderate","Poor"))</f>
        <v>Excellent</v>
      </c>
    </row>
    <row r="43" spans="1:21" x14ac:dyDescent="0.35">
      <c r="A43" t="s">
        <v>426</v>
      </c>
      <c r="B43" t="s">
        <v>42</v>
      </c>
      <c r="C43" t="s">
        <v>43</v>
      </c>
      <c r="D43" t="s">
        <v>55</v>
      </c>
      <c r="E43" t="s">
        <v>24</v>
      </c>
      <c r="F43">
        <v>1526</v>
      </c>
      <c r="G43">
        <v>1480</v>
      </c>
      <c r="H43" s="1">
        <v>46147</v>
      </c>
      <c r="I43" s="1">
        <v>46145</v>
      </c>
      <c r="J43">
        <v>19</v>
      </c>
      <c r="K43">
        <v>51</v>
      </c>
      <c r="L43">
        <f t="shared" si="0"/>
        <v>-2</v>
      </c>
      <c r="M43" s="6">
        <f t="shared" si="1"/>
        <v>1</v>
      </c>
      <c r="N43" s="6">
        <f t="shared" si="2"/>
        <v>0.96985583224115335</v>
      </c>
      <c r="O43" s="6">
        <f t="shared" si="3"/>
        <v>0.98716216216216213</v>
      </c>
      <c r="P43">
        <f t="shared" si="4"/>
        <v>75480</v>
      </c>
      <c r="Q43" s="6">
        <f>MIN(Table1[Unit Price])/Table1[[#This Row],[Unit Price]]</f>
        <v>9.8039215686274508E-2</v>
      </c>
      <c r="R43" s="8">
        <f>IF(Table1[[#This Row],[Delivery Delay]]&gt;0,1,0)</f>
        <v>0</v>
      </c>
      <c r="S43" s="6">
        <f>(Table1[[#This Row],[OTD]]*0.4)+(Table1[[#This Row],[Quality Rate]]*0.3)+(Table1[[#This Row],[Fill Rate]]*0.2)+(Table1[[#This Row],[Cost Score]]*0.1)</f>
        <v>0.89992373666550673</v>
      </c>
      <c r="T43">
        <f>MAX(Table1[OTD])</f>
        <v>1</v>
      </c>
      <c r="U43" t="str">
        <f>IF(Table1[[#This Row],[Vendor Score]]&gt;=90%,"Excellent",IF(Table1[[#This Row],[Vendor Score]]&gt;=75%,"Moderate","Poor"))</f>
        <v>Moderate</v>
      </c>
    </row>
    <row r="44" spans="1:21" x14ac:dyDescent="0.35">
      <c r="A44" t="s">
        <v>399</v>
      </c>
      <c r="B44" t="s">
        <v>59</v>
      </c>
      <c r="C44" t="s">
        <v>60</v>
      </c>
      <c r="D44" t="s">
        <v>19</v>
      </c>
      <c r="E44" t="s">
        <v>57</v>
      </c>
      <c r="F44">
        <v>1355</v>
      </c>
      <c r="G44">
        <v>1296</v>
      </c>
      <c r="H44" s="1">
        <v>46305</v>
      </c>
      <c r="I44" s="1">
        <v>46303</v>
      </c>
      <c r="J44">
        <v>83</v>
      </c>
      <c r="K44">
        <v>18</v>
      </c>
      <c r="L44">
        <f t="shared" si="0"/>
        <v>-2</v>
      </c>
      <c r="M44" s="6">
        <f t="shared" si="1"/>
        <v>1</v>
      </c>
      <c r="N44" s="6">
        <f t="shared" si="2"/>
        <v>0.95645756457564579</v>
      </c>
      <c r="O44" s="6">
        <f t="shared" si="3"/>
        <v>0.93595679012345678</v>
      </c>
      <c r="P44">
        <f t="shared" si="4"/>
        <v>23328</v>
      </c>
      <c r="Q44" s="6">
        <f>MIN(Table1[Unit Price])/Table1[[#This Row],[Unit Price]]</f>
        <v>0.27777777777777779</v>
      </c>
      <c r="R44" s="8">
        <f>IF(Table1[[#This Row],[Delivery Delay]]&gt;0,1,0)</f>
        <v>0</v>
      </c>
      <c r="S44" s="6">
        <f>(Table1[[#This Row],[OTD]]*0.4)+(Table1[[#This Row],[Quality Rate]]*0.3)+(Table1[[#This Row],[Fill Rate]]*0.2)+(Table1[[#This Row],[Cost Score]]*0.1)</f>
        <v>0.89985632772994395</v>
      </c>
      <c r="T44">
        <f>MAX(Table1[OTD])</f>
        <v>1</v>
      </c>
      <c r="U44" t="str">
        <f>IF(Table1[[#This Row],[Vendor Score]]&gt;=90%,"Excellent",IF(Table1[[#This Row],[Vendor Score]]&gt;=75%,"Moderate","Poor"))</f>
        <v>Moderate</v>
      </c>
    </row>
    <row r="45" spans="1:21" x14ac:dyDescent="0.35">
      <c r="A45" t="s">
        <v>303</v>
      </c>
      <c r="B45" t="s">
        <v>17</v>
      </c>
      <c r="C45" t="s">
        <v>18</v>
      </c>
      <c r="D45" t="s">
        <v>14</v>
      </c>
      <c r="E45" t="s">
        <v>40</v>
      </c>
      <c r="F45">
        <v>1067</v>
      </c>
      <c r="G45">
        <v>1062</v>
      </c>
      <c r="H45" s="1">
        <v>46260</v>
      </c>
      <c r="I45" s="1">
        <v>46258</v>
      </c>
      <c r="J45">
        <v>44</v>
      </c>
      <c r="K45">
        <v>40</v>
      </c>
      <c r="L45">
        <f t="shared" si="0"/>
        <v>-2</v>
      </c>
      <c r="M45" s="6">
        <f t="shared" si="1"/>
        <v>1</v>
      </c>
      <c r="N45" s="6">
        <f t="shared" si="2"/>
        <v>0.99531396438612929</v>
      </c>
      <c r="O45" s="6">
        <f t="shared" si="3"/>
        <v>0.95856873822975519</v>
      </c>
      <c r="P45">
        <f t="shared" si="4"/>
        <v>42480</v>
      </c>
      <c r="Q45" s="6">
        <f>MIN(Table1[Unit Price])/Table1[[#This Row],[Unit Price]]</f>
        <v>0.125</v>
      </c>
      <c r="R45" s="8">
        <f>IF(Table1[[#This Row],[Delivery Delay]]&gt;0,1,0)</f>
        <v>0</v>
      </c>
      <c r="S45" s="6">
        <f>(Table1[[#This Row],[OTD]]*0.4)+(Table1[[#This Row],[Quality Rate]]*0.3)+(Table1[[#This Row],[Fill Rate]]*0.2)+(Table1[[#This Row],[Cost Score]]*0.1)</f>
        <v>0.89913341434615235</v>
      </c>
      <c r="T45">
        <f>MAX(Table1[OTD])</f>
        <v>1</v>
      </c>
      <c r="U45" t="str">
        <f>IF(Table1[[#This Row],[Vendor Score]]&gt;=90%,"Excellent",IF(Table1[[#This Row],[Vendor Score]]&gt;=75%,"Moderate","Poor"))</f>
        <v>Moderate</v>
      </c>
    </row>
    <row r="46" spans="1:21" x14ac:dyDescent="0.35">
      <c r="A46" t="s">
        <v>488</v>
      </c>
      <c r="B46" t="s">
        <v>42</v>
      </c>
      <c r="C46" t="s">
        <v>43</v>
      </c>
      <c r="D46" t="s">
        <v>33</v>
      </c>
      <c r="E46" t="s">
        <v>57</v>
      </c>
      <c r="F46">
        <v>2744</v>
      </c>
      <c r="G46">
        <v>2722</v>
      </c>
      <c r="H46" s="1">
        <v>46298</v>
      </c>
      <c r="I46" s="1">
        <v>46298</v>
      </c>
      <c r="J46">
        <v>30</v>
      </c>
      <c r="K46">
        <v>130</v>
      </c>
      <c r="L46">
        <f t="shared" si="0"/>
        <v>0</v>
      </c>
      <c r="M46" s="6">
        <f t="shared" si="1"/>
        <v>1</v>
      </c>
      <c r="N46" s="6">
        <f t="shared" si="2"/>
        <v>0.99198250728862969</v>
      </c>
      <c r="O46" s="6">
        <f t="shared" si="3"/>
        <v>0.98897869213813372</v>
      </c>
      <c r="P46">
        <f t="shared" si="4"/>
        <v>353860</v>
      </c>
      <c r="Q46" s="6">
        <f>MIN(Table1[Unit Price])/Table1[[#This Row],[Unit Price]]</f>
        <v>3.8461538461538464E-2</v>
      </c>
      <c r="R46" s="8">
        <f>IF(Table1[[#This Row],[Delivery Delay]]&gt;0,1,0)</f>
        <v>0</v>
      </c>
      <c r="S46" s="6">
        <f>(Table1[[#This Row],[OTD]]*0.4)+(Table1[[#This Row],[Quality Rate]]*0.3)+(Table1[[#This Row],[Fill Rate]]*0.2)+(Table1[[#This Row],[Cost Score]]*0.1)</f>
        <v>0.89893626294531981</v>
      </c>
      <c r="T46">
        <f>MAX(Table1[OTD])</f>
        <v>1</v>
      </c>
      <c r="U46" t="str">
        <f>IF(Table1[[#This Row],[Vendor Score]]&gt;=90%,"Excellent",IF(Table1[[#This Row],[Vendor Score]]&gt;=75%,"Moderate","Poor"))</f>
        <v>Moderate</v>
      </c>
    </row>
    <row r="47" spans="1:21" x14ac:dyDescent="0.35">
      <c r="A47" t="s">
        <v>410</v>
      </c>
      <c r="B47" t="s">
        <v>42</v>
      </c>
      <c r="C47" t="s">
        <v>43</v>
      </c>
      <c r="D47" t="s">
        <v>14</v>
      </c>
      <c r="E47" t="s">
        <v>34</v>
      </c>
      <c r="F47">
        <v>2105</v>
      </c>
      <c r="G47">
        <v>2039</v>
      </c>
      <c r="H47" s="1">
        <v>46186</v>
      </c>
      <c r="I47" s="1">
        <v>46185</v>
      </c>
      <c r="J47">
        <v>21</v>
      </c>
      <c r="K47">
        <v>61</v>
      </c>
      <c r="L47">
        <f t="shared" si="0"/>
        <v>-1</v>
      </c>
      <c r="M47" s="6">
        <f t="shared" si="1"/>
        <v>1</v>
      </c>
      <c r="N47" s="6">
        <f t="shared" si="2"/>
        <v>0.96864608076009506</v>
      </c>
      <c r="O47" s="6">
        <f t="shared" si="3"/>
        <v>0.98970083374203044</v>
      </c>
      <c r="P47">
        <f t="shared" si="4"/>
        <v>124379</v>
      </c>
      <c r="Q47" s="6">
        <f>MIN(Table1[Unit Price])/Table1[[#This Row],[Unit Price]]</f>
        <v>8.1967213114754092E-2</v>
      </c>
      <c r="R47" s="8">
        <f>IF(Table1[[#This Row],[Delivery Delay]]&gt;0,1,0)</f>
        <v>0</v>
      </c>
      <c r="S47" s="6">
        <f>(Table1[[#This Row],[OTD]]*0.4)+(Table1[[#This Row],[Quality Rate]]*0.3)+(Table1[[#This Row],[Fill Rate]]*0.2)+(Table1[[#This Row],[Cost Score]]*0.1)</f>
        <v>0.89883618758610362</v>
      </c>
      <c r="T47">
        <f>MAX(Table1[OTD])</f>
        <v>1</v>
      </c>
      <c r="U47" t="str">
        <f>IF(Table1[[#This Row],[Vendor Score]]&gt;=90%,"Excellent",IF(Table1[[#This Row],[Vendor Score]]&gt;=75%,"Moderate","Poor"))</f>
        <v>Moderate</v>
      </c>
    </row>
    <row r="48" spans="1:21" x14ac:dyDescent="0.35">
      <c r="A48" t="s">
        <v>327</v>
      </c>
      <c r="B48" t="s">
        <v>26</v>
      </c>
      <c r="C48" t="s">
        <v>27</v>
      </c>
      <c r="D48" t="s">
        <v>33</v>
      </c>
      <c r="E48" t="s">
        <v>20</v>
      </c>
      <c r="F48">
        <v>1922</v>
      </c>
      <c r="G48">
        <v>1873</v>
      </c>
      <c r="H48" s="1">
        <v>46229</v>
      </c>
      <c r="I48" s="1">
        <v>46227</v>
      </c>
      <c r="J48">
        <v>22</v>
      </c>
      <c r="K48">
        <v>68</v>
      </c>
      <c r="L48">
        <f t="shared" si="0"/>
        <v>-2</v>
      </c>
      <c r="M48" s="6">
        <f t="shared" si="1"/>
        <v>1</v>
      </c>
      <c r="N48" s="6">
        <f t="shared" si="2"/>
        <v>0.97450572320499484</v>
      </c>
      <c r="O48" s="6">
        <f t="shared" si="3"/>
        <v>0.98825413774693005</v>
      </c>
      <c r="P48">
        <f t="shared" si="4"/>
        <v>127364</v>
      </c>
      <c r="Q48" s="6">
        <f>MIN(Table1[Unit Price])/Table1[[#This Row],[Unit Price]]</f>
        <v>7.3529411764705885E-2</v>
      </c>
      <c r="R48" s="8">
        <f>IF(Table1[[#This Row],[Delivery Delay]]&gt;0,1,0)</f>
        <v>0</v>
      </c>
      <c r="S48" s="6">
        <f>(Table1[[#This Row],[OTD]]*0.4)+(Table1[[#This Row],[Quality Rate]]*0.3)+(Table1[[#This Row],[Fill Rate]]*0.2)+(Table1[[#This Row],[Cost Score]]*0.1)</f>
        <v>0.89873032714154855</v>
      </c>
      <c r="T48">
        <f>MAX(Table1[OTD])</f>
        <v>1</v>
      </c>
      <c r="U48" t="str">
        <f>IF(Table1[[#This Row],[Vendor Score]]&gt;=90%,"Excellent",IF(Table1[[#This Row],[Vendor Score]]&gt;=75%,"Moderate","Poor"))</f>
        <v>Moderate</v>
      </c>
    </row>
    <row r="49" spans="1:21" x14ac:dyDescent="0.35">
      <c r="A49" t="s">
        <v>213</v>
      </c>
      <c r="B49" t="s">
        <v>38</v>
      </c>
      <c r="C49" t="s">
        <v>39</v>
      </c>
      <c r="D49" t="s">
        <v>14</v>
      </c>
      <c r="E49" t="s">
        <v>57</v>
      </c>
      <c r="F49">
        <v>2094</v>
      </c>
      <c r="G49">
        <v>2078</v>
      </c>
      <c r="H49" s="1">
        <v>46311</v>
      </c>
      <c r="I49" s="1">
        <v>46311</v>
      </c>
      <c r="J49">
        <v>43</v>
      </c>
      <c r="K49">
        <v>80</v>
      </c>
      <c r="L49">
        <f t="shared" si="0"/>
        <v>0</v>
      </c>
      <c r="M49" s="6">
        <f t="shared" si="1"/>
        <v>1</v>
      </c>
      <c r="N49" s="6">
        <f t="shared" si="2"/>
        <v>0.99235912129894943</v>
      </c>
      <c r="O49" s="6">
        <f t="shared" si="3"/>
        <v>0.97930702598652553</v>
      </c>
      <c r="P49">
        <f t="shared" si="4"/>
        <v>166240</v>
      </c>
      <c r="Q49" s="6">
        <f>MIN(Table1[Unit Price])/Table1[[#This Row],[Unit Price]]</f>
        <v>6.25E-2</v>
      </c>
      <c r="R49" s="8">
        <f>IF(Table1[[#This Row],[Delivery Delay]]&gt;0,1,0)</f>
        <v>0</v>
      </c>
      <c r="S49" s="6">
        <f>(Table1[[#This Row],[OTD]]*0.4)+(Table1[[#This Row],[Quality Rate]]*0.3)+(Table1[[#This Row],[Fill Rate]]*0.2)+(Table1[[#This Row],[Cost Score]]*0.1)</f>
        <v>0.89851393205574759</v>
      </c>
      <c r="T49">
        <f>MAX(Table1[OTD])</f>
        <v>1</v>
      </c>
      <c r="U49" t="str">
        <f>IF(Table1[[#This Row],[Vendor Score]]&gt;=90%,"Excellent",IF(Table1[[#This Row],[Vendor Score]]&gt;=75%,"Moderate","Poor"))</f>
        <v>Moderate</v>
      </c>
    </row>
    <row r="50" spans="1:21" x14ac:dyDescent="0.35">
      <c r="A50" t="s">
        <v>89</v>
      </c>
      <c r="B50" t="s">
        <v>45</v>
      </c>
      <c r="C50" t="s">
        <v>46</v>
      </c>
      <c r="D50" t="s">
        <v>55</v>
      </c>
      <c r="E50" t="s">
        <v>52</v>
      </c>
      <c r="F50">
        <v>3366</v>
      </c>
      <c r="G50">
        <v>3344</v>
      </c>
      <c r="H50" s="1">
        <v>46106</v>
      </c>
      <c r="I50" s="1">
        <v>46105</v>
      </c>
      <c r="J50">
        <v>301</v>
      </c>
      <c r="K50">
        <v>19</v>
      </c>
      <c r="L50">
        <f t="shared" si="0"/>
        <v>-1</v>
      </c>
      <c r="M50" s="6">
        <f t="shared" si="1"/>
        <v>1</v>
      </c>
      <c r="N50" s="6">
        <f t="shared" si="2"/>
        <v>0.99346405228758172</v>
      </c>
      <c r="O50" s="6">
        <f t="shared" si="3"/>
        <v>0.90998803827751196</v>
      </c>
      <c r="P50">
        <f t="shared" si="4"/>
        <v>63536</v>
      </c>
      <c r="Q50" s="6">
        <f>MIN(Table1[Unit Price])/Table1[[#This Row],[Unit Price]]</f>
        <v>0.26315789473684209</v>
      </c>
      <c r="R50" s="8">
        <f>IF(Table1[[#This Row],[Delivery Delay]]&gt;0,1,0)</f>
        <v>0</v>
      </c>
      <c r="S50" s="6">
        <f>(Table1[[#This Row],[OTD]]*0.4)+(Table1[[#This Row],[Quality Rate]]*0.3)+(Table1[[#This Row],[Fill Rate]]*0.2)+(Table1[[#This Row],[Cost Score]]*0.1)</f>
        <v>0.8980050114144541</v>
      </c>
      <c r="T50">
        <f>MAX(Table1[OTD])</f>
        <v>1</v>
      </c>
      <c r="U50" t="str">
        <f>IF(Table1[[#This Row],[Vendor Score]]&gt;=90%,"Excellent",IF(Table1[[#This Row],[Vendor Score]]&gt;=75%,"Moderate","Poor"))</f>
        <v>Moderate</v>
      </c>
    </row>
    <row r="51" spans="1:21" x14ac:dyDescent="0.35">
      <c r="A51" t="s">
        <v>392</v>
      </c>
      <c r="B51" t="s">
        <v>42</v>
      </c>
      <c r="C51" t="s">
        <v>43</v>
      </c>
      <c r="D51" t="s">
        <v>33</v>
      </c>
      <c r="E51" t="s">
        <v>96</v>
      </c>
      <c r="F51">
        <v>3806</v>
      </c>
      <c r="G51">
        <v>3762</v>
      </c>
      <c r="H51" s="1">
        <v>46129</v>
      </c>
      <c r="I51" s="1">
        <v>46129</v>
      </c>
      <c r="J51">
        <v>43</v>
      </c>
      <c r="K51">
        <v>138</v>
      </c>
      <c r="L51">
        <f t="shared" si="0"/>
        <v>0</v>
      </c>
      <c r="M51" s="6">
        <f t="shared" si="1"/>
        <v>1</v>
      </c>
      <c r="N51" s="6">
        <f t="shared" si="2"/>
        <v>0.98843930635838151</v>
      </c>
      <c r="O51" s="6">
        <f t="shared" si="3"/>
        <v>0.98856990962254121</v>
      </c>
      <c r="P51">
        <f t="shared" si="4"/>
        <v>519156</v>
      </c>
      <c r="Q51" s="6">
        <f>MIN(Table1[Unit Price])/Table1[[#This Row],[Unit Price]]</f>
        <v>3.6231884057971016E-2</v>
      </c>
      <c r="R51" s="8">
        <f>IF(Table1[[#This Row],[Delivery Delay]]&gt;0,1,0)</f>
        <v>0</v>
      </c>
      <c r="S51" s="6">
        <f>(Table1[[#This Row],[OTD]]*0.4)+(Table1[[#This Row],[Quality Rate]]*0.3)+(Table1[[#This Row],[Fill Rate]]*0.2)+(Table1[[#This Row],[Cost Score]]*0.1)</f>
        <v>0.89788202256423588</v>
      </c>
      <c r="T51">
        <f>MAX(Table1[OTD])</f>
        <v>1</v>
      </c>
      <c r="U51" t="str">
        <f>IF(Table1[[#This Row],[Vendor Score]]&gt;=90%,"Excellent",IF(Table1[[#This Row],[Vendor Score]]&gt;=75%,"Moderate","Poor"))</f>
        <v>Moderate</v>
      </c>
    </row>
    <row r="52" spans="1:21" x14ac:dyDescent="0.35">
      <c r="A52" t="s">
        <v>114</v>
      </c>
      <c r="B52" t="s">
        <v>42</v>
      </c>
      <c r="C52" t="s">
        <v>43</v>
      </c>
      <c r="D52" t="s">
        <v>55</v>
      </c>
      <c r="E52" t="s">
        <v>96</v>
      </c>
      <c r="F52">
        <v>2734</v>
      </c>
      <c r="G52">
        <v>2711</v>
      </c>
      <c r="H52" s="1">
        <v>46134</v>
      </c>
      <c r="I52" s="1">
        <v>46132</v>
      </c>
      <c r="J52">
        <v>29</v>
      </c>
      <c r="K52">
        <v>196</v>
      </c>
      <c r="L52">
        <f t="shared" si="0"/>
        <v>-2</v>
      </c>
      <c r="M52" s="6">
        <f t="shared" si="1"/>
        <v>1</v>
      </c>
      <c r="N52" s="6">
        <f t="shared" si="2"/>
        <v>0.9915874177029993</v>
      </c>
      <c r="O52" s="6">
        <f t="shared" si="3"/>
        <v>0.98930284028033932</v>
      </c>
      <c r="P52">
        <f t="shared" si="4"/>
        <v>531356</v>
      </c>
      <c r="Q52" s="6">
        <f>MIN(Table1[Unit Price])/Table1[[#This Row],[Unit Price]]</f>
        <v>2.5510204081632654E-2</v>
      </c>
      <c r="R52" s="8">
        <f>IF(Table1[[#This Row],[Delivery Delay]]&gt;0,1,0)</f>
        <v>0</v>
      </c>
      <c r="S52" s="6">
        <f>(Table1[[#This Row],[OTD]]*0.4)+(Table1[[#This Row],[Quality Rate]]*0.3)+(Table1[[#This Row],[Fill Rate]]*0.2)+(Table1[[#This Row],[Cost Score]]*0.1)</f>
        <v>0.89765935603286484</v>
      </c>
      <c r="T52">
        <f>MAX(Table1[OTD])</f>
        <v>1</v>
      </c>
      <c r="U52" t="str">
        <f>IF(Table1[[#This Row],[Vendor Score]]&gt;=90%,"Excellent",IF(Table1[[#This Row],[Vendor Score]]&gt;=75%,"Moderate","Poor"))</f>
        <v>Moderate</v>
      </c>
    </row>
    <row r="53" spans="1:21" x14ac:dyDescent="0.35">
      <c r="A53" t="s">
        <v>317</v>
      </c>
      <c r="B53" t="s">
        <v>42</v>
      </c>
      <c r="C53" t="s">
        <v>43</v>
      </c>
      <c r="D53" t="s">
        <v>55</v>
      </c>
      <c r="E53" t="s">
        <v>47</v>
      </c>
      <c r="F53">
        <v>732</v>
      </c>
      <c r="G53">
        <v>727</v>
      </c>
      <c r="H53" s="1">
        <v>46340</v>
      </c>
      <c r="I53" s="1">
        <v>46340</v>
      </c>
      <c r="J53">
        <v>10</v>
      </c>
      <c r="K53">
        <v>159</v>
      </c>
      <c r="L53">
        <f t="shared" si="0"/>
        <v>0</v>
      </c>
      <c r="M53" s="6">
        <f t="shared" si="1"/>
        <v>1</v>
      </c>
      <c r="N53" s="6">
        <f t="shared" si="2"/>
        <v>0.99316939890710387</v>
      </c>
      <c r="O53" s="6">
        <f t="shared" si="3"/>
        <v>0.98624484181568084</v>
      </c>
      <c r="P53">
        <f t="shared" si="4"/>
        <v>115593</v>
      </c>
      <c r="Q53" s="6">
        <f>MIN(Table1[Unit Price])/Table1[[#This Row],[Unit Price]]</f>
        <v>3.1446540880503145E-2</v>
      </c>
      <c r="R53" s="8">
        <f>IF(Table1[[#This Row],[Delivery Delay]]&gt;0,1,0)</f>
        <v>0</v>
      </c>
      <c r="S53" s="6">
        <f>(Table1[[#This Row],[OTD]]*0.4)+(Table1[[#This Row],[Quality Rate]]*0.3)+(Table1[[#This Row],[Fill Rate]]*0.2)+(Table1[[#This Row],[Cost Score]]*0.1)</f>
        <v>0.89765198641417543</v>
      </c>
      <c r="T53">
        <f>MAX(Table1[OTD])</f>
        <v>1</v>
      </c>
      <c r="U53" t="str">
        <f>IF(Table1[[#This Row],[Vendor Score]]&gt;=90%,"Excellent",IF(Table1[[#This Row],[Vendor Score]]&gt;=75%,"Moderate","Poor"))</f>
        <v>Moderate</v>
      </c>
    </row>
    <row r="54" spans="1:21" x14ac:dyDescent="0.35">
      <c r="A54" t="s">
        <v>378</v>
      </c>
      <c r="B54" t="s">
        <v>26</v>
      </c>
      <c r="C54" t="s">
        <v>27</v>
      </c>
      <c r="D54" t="s">
        <v>19</v>
      </c>
      <c r="E54" t="s">
        <v>57</v>
      </c>
      <c r="F54">
        <v>1411</v>
      </c>
      <c r="G54">
        <v>1402</v>
      </c>
      <c r="H54" s="1">
        <v>46313</v>
      </c>
      <c r="I54" s="1">
        <v>46313</v>
      </c>
      <c r="J54">
        <v>16</v>
      </c>
      <c r="K54">
        <v>239</v>
      </c>
      <c r="L54">
        <f t="shared" si="0"/>
        <v>0</v>
      </c>
      <c r="M54" s="6">
        <f t="shared" si="1"/>
        <v>1</v>
      </c>
      <c r="N54" s="6">
        <f t="shared" si="2"/>
        <v>0.9936215450035436</v>
      </c>
      <c r="O54" s="6">
        <f t="shared" si="3"/>
        <v>0.98858773181169757</v>
      </c>
      <c r="P54">
        <f t="shared" si="4"/>
        <v>335078</v>
      </c>
      <c r="Q54" s="6">
        <f>MIN(Table1[Unit Price])/Table1[[#This Row],[Unit Price]]</f>
        <v>2.0920502092050208E-2</v>
      </c>
      <c r="R54" s="8">
        <f>IF(Table1[[#This Row],[Delivery Delay]]&gt;0,1,0)</f>
        <v>0</v>
      </c>
      <c r="S54" s="6">
        <f>(Table1[[#This Row],[OTD]]*0.4)+(Table1[[#This Row],[Quality Rate]]*0.3)+(Table1[[#This Row],[Fill Rate]]*0.2)+(Table1[[#This Row],[Cost Score]]*0.1)</f>
        <v>0.89739267875342299</v>
      </c>
      <c r="T54">
        <f>MAX(Table1[OTD])</f>
        <v>1</v>
      </c>
      <c r="U54" t="str">
        <f>IF(Table1[[#This Row],[Vendor Score]]&gt;=90%,"Excellent",IF(Table1[[#This Row],[Vendor Score]]&gt;=75%,"Moderate","Poor"))</f>
        <v>Moderate</v>
      </c>
    </row>
    <row r="55" spans="1:21" x14ac:dyDescent="0.35">
      <c r="A55" t="s">
        <v>367</v>
      </c>
      <c r="B55" t="s">
        <v>12</v>
      </c>
      <c r="C55" t="s">
        <v>13</v>
      </c>
      <c r="D55" t="s">
        <v>19</v>
      </c>
      <c r="E55" t="s">
        <v>40</v>
      </c>
      <c r="F55">
        <v>4290</v>
      </c>
      <c r="G55">
        <v>4112</v>
      </c>
      <c r="H55" s="1">
        <v>46259</v>
      </c>
      <c r="I55" s="1">
        <v>46259</v>
      </c>
      <c r="J55">
        <v>494</v>
      </c>
      <c r="K55">
        <v>12</v>
      </c>
      <c r="L55">
        <f t="shared" si="0"/>
        <v>0</v>
      </c>
      <c r="M55" s="6">
        <f t="shared" si="1"/>
        <v>1</v>
      </c>
      <c r="N55" s="6">
        <f t="shared" si="2"/>
        <v>0.95850815850815851</v>
      </c>
      <c r="O55" s="6">
        <f t="shared" si="3"/>
        <v>0.87986381322957197</v>
      </c>
      <c r="P55">
        <f t="shared" si="4"/>
        <v>49344</v>
      </c>
      <c r="Q55" s="6">
        <f>MIN(Table1[Unit Price])/Table1[[#This Row],[Unit Price]]</f>
        <v>0.41666666666666669</v>
      </c>
      <c r="R55" s="8">
        <f>IF(Table1[[#This Row],[Delivery Delay]]&gt;0,1,0)</f>
        <v>0</v>
      </c>
      <c r="S55" s="6">
        <f>(Table1[[#This Row],[OTD]]*0.4)+(Table1[[#This Row],[Quality Rate]]*0.3)+(Table1[[#This Row],[Fill Rate]]*0.2)+(Table1[[#This Row],[Cost Score]]*0.1)</f>
        <v>0.89732744233716999</v>
      </c>
      <c r="T55">
        <f>MAX(Table1[OTD])</f>
        <v>1</v>
      </c>
      <c r="U55" t="str">
        <f>IF(Table1[[#This Row],[Vendor Score]]&gt;=90%,"Excellent",IF(Table1[[#This Row],[Vendor Score]]&gt;=75%,"Moderate","Poor"))</f>
        <v>Moderate</v>
      </c>
    </row>
    <row r="56" spans="1:21" x14ac:dyDescent="0.35">
      <c r="A56" t="s">
        <v>402</v>
      </c>
      <c r="B56" t="s">
        <v>42</v>
      </c>
      <c r="C56" t="s">
        <v>43</v>
      </c>
      <c r="D56" t="s">
        <v>14</v>
      </c>
      <c r="E56" t="s">
        <v>24</v>
      </c>
      <c r="F56">
        <v>2580</v>
      </c>
      <c r="G56">
        <v>2557</v>
      </c>
      <c r="H56" s="1">
        <v>46155</v>
      </c>
      <c r="I56" s="1">
        <v>46155</v>
      </c>
      <c r="J56">
        <v>29</v>
      </c>
      <c r="K56">
        <v>201</v>
      </c>
      <c r="L56">
        <f t="shared" si="0"/>
        <v>0</v>
      </c>
      <c r="M56" s="6">
        <f t="shared" si="1"/>
        <v>1</v>
      </c>
      <c r="N56" s="6">
        <f t="shared" si="2"/>
        <v>0.99108527131782942</v>
      </c>
      <c r="O56" s="6">
        <f t="shared" si="3"/>
        <v>0.98865858427845132</v>
      </c>
      <c r="P56">
        <f t="shared" si="4"/>
        <v>513957</v>
      </c>
      <c r="Q56" s="6">
        <f>MIN(Table1[Unit Price])/Table1[[#This Row],[Unit Price]]</f>
        <v>2.4875621890547265E-2</v>
      </c>
      <c r="R56" s="8">
        <f>IF(Table1[[#This Row],[Delivery Delay]]&gt;0,1,0)</f>
        <v>0</v>
      </c>
      <c r="S56" s="6">
        <f>(Table1[[#This Row],[OTD]]*0.4)+(Table1[[#This Row],[Quality Rate]]*0.3)+(Table1[[#This Row],[Fill Rate]]*0.2)+(Table1[[#This Row],[Cost Score]]*0.1)</f>
        <v>0.89730219173615611</v>
      </c>
      <c r="T56">
        <f>MAX(Table1[OTD])</f>
        <v>1</v>
      </c>
      <c r="U56" t="str">
        <f>IF(Table1[[#This Row],[Vendor Score]]&gt;=90%,"Excellent",IF(Table1[[#This Row],[Vendor Score]]&gt;=75%,"Moderate","Poor"))</f>
        <v>Moderate</v>
      </c>
    </row>
    <row r="57" spans="1:21" x14ac:dyDescent="0.35">
      <c r="A57" t="s">
        <v>162</v>
      </c>
      <c r="B57" t="s">
        <v>42</v>
      </c>
      <c r="C57" t="s">
        <v>43</v>
      </c>
      <c r="D57" t="s">
        <v>55</v>
      </c>
      <c r="E57" t="s">
        <v>20</v>
      </c>
      <c r="F57">
        <v>722</v>
      </c>
      <c r="G57">
        <v>715</v>
      </c>
      <c r="H57" s="1">
        <v>46208</v>
      </c>
      <c r="I57" s="1">
        <v>46208</v>
      </c>
      <c r="J57">
        <v>12</v>
      </c>
      <c r="K57">
        <v>118</v>
      </c>
      <c r="L57">
        <f t="shared" si="0"/>
        <v>0</v>
      </c>
      <c r="M57" s="6">
        <f t="shared" si="1"/>
        <v>1</v>
      </c>
      <c r="N57" s="6">
        <f t="shared" si="2"/>
        <v>0.99030470914127422</v>
      </c>
      <c r="O57" s="6">
        <f t="shared" si="3"/>
        <v>0.98321678321678319</v>
      </c>
      <c r="P57">
        <f t="shared" si="4"/>
        <v>84370</v>
      </c>
      <c r="Q57" s="6">
        <f>MIN(Table1[Unit Price])/Table1[[#This Row],[Unit Price]]</f>
        <v>4.2372881355932202E-2</v>
      </c>
      <c r="R57" s="8">
        <f>IF(Table1[[#This Row],[Delivery Delay]]&gt;0,1,0)</f>
        <v>0</v>
      </c>
      <c r="S57" s="6">
        <f>(Table1[[#This Row],[OTD]]*0.4)+(Table1[[#This Row],[Quality Rate]]*0.3)+(Table1[[#This Row],[Fill Rate]]*0.2)+(Table1[[#This Row],[Cost Score]]*0.1)</f>
        <v>0.89726326492888298</v>
      </c>
      <c r="T57">
        <f>MAX(Table1[OTD])</f>
        <v>1</v>
      </c>
      <c r="U57" t="str">
        <f>IF(Table1[[#This Row],[Vendor Score]]&gt;=90%,"Excellent",IF(Table1[[#This Row],[Vendor Score]]&gt;=75%,"Moderate","Poor"))</f>
        <v>Moderate</v>
      </c>
    </row>
    <row r="58" spans="1:21" x14ac:dyDescent="0.35">
      <c r="A58" t="s">
        <v>209</v>
      </c>
      <c r="B58" t="s">
        <v>38</v>
      </c>
      <c r="C58" t="s">
        <v>39</v>
      </c>
      <c r="D58" t="s">
        <v>14</v>
      </c>
      <c r="E58" t="s">
        <v>70</v>
      </c>
      <c r="F58">
        <v>2841</v>
      </c>
      <c r="G58">
        <v>2738</v>
      </c>
      <c r="H58" s="1">
        <v>46038</v>
      </c>
      <c r="I58" s="1">
        <v>46038</v>
      </c>
      <c r="J58">
        <v>59</v>
      </c>
      <c r="K58">
        <v>46</v>
      </c>
      <c r="L58">
        <f t="shared" si="0"/>
        <v>0</v>
      </c>
      <c r="M58" s="6">
        <f t="shared" si="1"/>
        <v>1</v>
      </c>
      <c r="N58" s="6">
        <f t="shared" si="2"/>
        <v>0.96374516015487499</v>
      </c>
      <c r="O58" s="6">
        <f t="shared" si="3"/>
        <v>0.97845142439737032</v>
      </c>
      <c r="P58">
        <f t="shared" si="4"/>
        <v>125948</v>
      </c>
      <c r="Q58" s="6">
        <f>MIN(Table1[Unit Price])/Table1[[#This Row],[Unit Price]]</f>
        <v>0.10869565217391304</v>
      </c>
      <c r="R58" s="8">
        <f>IF(Table1[[#This Row],[Delivery Delay]]&gt;0,1,0)</f>
        <v>0</v>
      </c>
      <c r="S58" s="6">
        <f>(Table1[[#This Row],[OTD]]*0.4)+(Table1[[#This Row],[Quality Rate]]*0.3)+(Table1[[#This Row],[Fill Rate]]*0.2)+(Table1[[#This Row],[Cost Score]]*0.1)</f>
        <v>0.89715402456757753</v>
      </c>
      <c r="T58">
        <f>MAX(Table1[OTD])</f>
        <v>1</v>
      </c>
      <c r="U58" t="str">
        <f>IF(Table1[[#This Row],[Vendor Score]]&gt;=90%,"Excellent",IF(Table1[[#This Row],[Vendor Score]]&gt;=75%,"Moderate","Poor"))</f>
        <v>Moderate</v>
      </c>
    </row>
    <row r="59" spans="1:21" x14ac:dyDescent="0.35">
      <c r="A59" t="s">
        <v>140</v>
      </c>
      <c r="B59" t="s">
        <v>26</v>
      </c>
      <c r="C59" t="s">
        <v>27</v>
      </c>
      <c r="D59" t="s">
        <v>14</v>
      </c>
      <c r="E59" t="s">
        <v>24</v>
      </c>
      <c r="F59">
        <v>829</v>
      </c>
      <c r="G59">
        <v>824</v>
      </c>
      <c r="H59" s="1">
        <v>46155</v>
      </c>
      <c r="I59" s="1">
        <v>46154</v>
      </c>
      <c r="J59">
        <v>11</v>
      </c>
      <c r="K59">
        <v>235</v>
      </c>
      <c r="L59">
        <f t="shared" si="0"/>
        <v>-1</v>
      </c>
      <c r="M59" s="6">
        <f t="shared" si="1"/>
        <v>1</v>
      </c>
      <c r="N59" s="6">
        <f t="shared" si="2"/>
        <v>0.99396863691194215</v>
      </c>
      <c r="O59" s="6">
        <f t="shared" si="3"/>
        <v>0.98665048543689315</v>
      </c>
      <c r="P59">
        <f t="shared" si="4"/>
        <v>193640</v>
      </c>
      <c r="Q59" s="6">
        <f>MIN(Table1[Unit Price])/Table1[[#This Row],[Unit Price]]</f>
        <v>2.1276595744680851E-2</v>
      </c>
      <c r="R59" s="8">
        <f>IF(Table1[[#This Row],[Delivery Delay]]&gt;0,1,0)</f>
        <v>0</v>
      </c>
      <c r="S59" s="6">
        <f>(Table1[[#This Row],[OTD]]*0.4)+(Table1[[#This Row],[Quality Rate]]*0.3)+(Table1[[#This Row],[Fill Rate]]*0.2)+(Table1[[#This Row],[Cost Score]]*0.1)</f>
        <v>0.89691653258792448</v>
      </c>
      <c r="T59">
        <f>MAX(Table1[OTD])</f>
        <v>1</v>
      </c>
      <c r="U59" t="str">
        <f>IF(Table1[[#This Row],[Vendor Score]]&gt;=90%,"Excellent",IF(Table1[[#This Row],[Vendor Score]]&gt;=75%,"Moderate","Poor"))</f>
        <v>Moderate</v>
      </c>
    </row>
    <row r="60" spans="1:21" x14ac:dyDescent="0.35">
      <c r="A60" t="s">
        <v>41</v>
      </c>
      <c r="B60" t="s">
        <v>42</v>
      </c>
      <c r="C60" t="s">
        <v>43</v>
      </c>
      <c r="D60" t="s">
        <v>19</v>
      </c>
      <c r="E60" t="s">
        <v>28</v>
      </c>
      <c r="F60">
        <v>1823</v>
      </c>
      <c r="G60">
        <v>1806</v>
      </c>
      <c r="H60" s="1">
        <v>46288</v>
      </c>
      <c r="I60" s="1">
        <v>46288</v>
      </c>
      <c r="J60">
        <v>22</v>
      </c>
      <c r="K60">
        <v>223</v>
      </c>
      <c r="L60">
        <f t="shared" si="0"/>
        <v>0</v>
      </c>
      <c r="M60" s="6">
        <f t="shared" si="1"/>
        <v>1</v>
      </c>
      <c r="N60" s="6">
        <f t="shared" si="2"/>
        <v>0.99067471201316515</v>
      </c>
      <c r="O60" s="6">
        <f t="shared" si="3"/>
        <v>0.98781838316722037</v>
      </c>
      <c r="P60">
        <f t="shared" si="4"/>
        <v>402738</v>
      </c>
      <c r="Q60" s="6">
        <f>MIN(Table1[Unit Price])/Table1[[#This Row],[Unit Price]]</f>
        <v>2.2421524663677129E-2</v>
      </c>
      <c r="R60" s="8">
        <f>IF(Table1[[#This Row],[Delivery Delay]]&gt;0,1,0)</f>
        <v>0</v>
      </c>
      <c r="S60" s="6">
        <f>(Table1[[#This Row],[OTD]]*0.4)+(Table1[[#This Row],[Quality Rate]]*0.3)+(Table1[[#This Row],[Fill Rate]]*0.2)+(Table1[[#This Row],[Cost Score]]*0.1)</f>
        <v>0.89672260981916685</v>
      </c>
      <c r="T60">
        <f>MAX(Table1[OTD])</f>
        <v>1</v>
      </c>
      <c r="U60" t="str">
        <f>IF(Table1[[#This Row],[Vendor Score]]&gt;=90%,"Excellent",IF(Table1[[#This Row],[Vendor Score]]&gt;=75%,"Moderate","Poor"))</f>
        <v>Moderate</v>
      </c>
    </row>
    <row r="61" spans="1:21" x14ac:dyDescent="0.35">
      <c r="A61" t="s">
        <v>300</v>
      </c>
      <c r="B61" t="s">
        <v>26</v>
      </c>
      <c r="C61" t="s">
        <v>27</v>
      </c>
      <c r="D61" t="s">
        <v>14</v>
      </c>
      <c r="E61" t="s">
        <v>34</v>
      </c>
      <c r="F61">
        <v>2760</v>
      </c>
      <c r="G61">
        <v>2726</v>
      </c>
      <c r="H61" s="1">
        <v>46186</v>
      </c>
      <c r="I61" s="1">
        <v>46184</v>
      </c>
      <c r="J61">
        <v>33</v>
      </c>
      <c r="K61">
        <v>188</v>
      </c>
      <c r="L61">
        <f t="shared" si="0"/>
        <v>-2</v>
      </c>
      <c r="M61" s="6">
        <f t="shared" si="1"/>
        <v>1</v>
      </c>
      <c r="N61" s="6">
        <f t="shared" si="2"/>
        <v>0.98768115942028989</v>
      </c>
      <c r="O61" s="6">
        <f t="shared" si="3"/>
        <v>0.98789435069699194</v>
      </c>
      <c r="P61">
        <f t="shared" si="4"/>
        <v>512488</v>
      </c>
      <c r="Q61" s="6">
        <f>MIN(Table1[Unit Price])/Table1[[#This Row],[Unit Price]]</f>
        <v>2.6595744680851064E-2</v>
      </c>
      <c r="R61" s="8">
        <f>IF(Table1[[#This Row],[Delivery Delay]]&gt;0,1,0)</f>
        <v>0</v>
      </c>
      <c r="S61" s="6">
        <f>(Table1[[#This Row],[OTD]]*0.4)+(Table1[[#This Row],[Quality Rate]]*0.3)+(Table1[[#This Row],[Fill Rate]]*0.2)+(Table1[[#This Row],[Cost Score]]*0.1)</f>
        <v>0.89656411156124072</v>
      </c>
      <c r="T61">
        <f>MAX(Table1[OTD])</f>
        <v>1</v>
      </c>
      <c r="U61" t="str">
        <f>IF(Table1[[#This Row],[Vendor Score]]&gt;=90%,"Excellent",IF(Table1[[#This Row],[Vendor Score]]&gt;=75%,"Moderate","Poor"))</f>
        <v>Moderate</v>
      </c>
    </row>
    <row r="62" spans="1:21" x14ac:dyDescent="0.35">
      <c r="A62" t="s">
        <v>347</v>
      </c>
      <c r="B62" t="s">
        <v>26</v>
      </c>
      <c r="C62" t="s">
        <v>27</v>
      </c>
      <c r="D62" t="s">
        <v>19</v>
      </c>
      <c r="E62" t="s">
        <v>24</v>
      </c>
      <c r="F62">
        <v>3426</v>
      </c>
      <c r="G62">
        <v>3382</v>
      </c>
      <c r="H62" s="1">
        <v>46159</v>
      </c>
      <c r="I62" s="1">
        <v>46157</v>
      </c>
      <c r="J62">
        <v>38</v>
      </c>
      <c r="K62">
        <v>200</v>
      </c>
      <c r="L62">
        <f t="shared" si="0"/>
        <v>-2</v>
      </c>
      <c r="M62" s="6">
        <f t="shared" si="1"/>
        <v>1</v>
      </c>
      <c r="N62" s="6">
        <f t="shared" si="2"/>
        <v>0.98715703444249858</v>
      </c>
      <c r="O62" s="6">
        <f t="shared" si="3"/>
        <v>0.9887640449438202</v>
      </c>
      <c r="P62">
        <f t="shared" si="4"/>
        <v>676400</v>
      </c>
      <c r="Q62" s="6">
        <f>MIN(Table1[Unit Price])/Table1[[#This Row],[Unit Price]]</f>
        <v>2.5000000000000001E-2</v>
      </c>
      <c r="R62" s="8">
        <f>IF(Table1[[#This Row],[Delivery Delay]]&gt;0,1,0)</f>
        <v>0</v>
      </c>
      <c r="S62" s="6">
        <f>(Table1[[#This Row],[OTD]]*0.4)+(Table1[[#This Row],[Quality Rate]]*0.3)+(Table1[[#This Row],[Fill Rate]]*0.2)+(Table1[[#This Row],[Cost Score]]*0.1)</f>
        <v>0.89656062037164563</v>
      </c>
      <c r="T62">
        <f>MAX(Table1[OTD])</f>
        <v>1</v>
      </c>
      <c r="U62" t="str">
        <f>IF(Table1[[#This Row],[Vendor Score]]&gt;=90%,"Excellent",IF(Table1[[#This Row],[Vendor Score]]&gt;=75%,"Moderate","Poor"))</f>
        <v>Moderate</v>
      </c>
    </row>
    <row r="63" spans="1:21" x14ac:dyDescent="0.35">
      <c r="A63" t="s">
        <v>223</v>
      </c>
      <c r="B63" t="s">
        <v>42</v>
      </c>
      <c r="C63" t="s">
        <v>43</v>
      </c>
      <c r="D63" t="s">
        <v>33</v>
      </c>
      <c r="E63" t="s">
        <v>96</v>
      </c>
      <c r="F63">
        <v>2551</v>
      </c>
      <c r="G63">
        <v>2519</v>
      </c>
      <c r="H63" s="1">
        <v>46128</v>
      </c>
      <c r="I63" s="1">
        <v>46127</v>
      </c>
      <c r="J63">
        <v>27</v>
      </c>
      <c r="K63">
        <v>227</v>
      </c>
      <c r="L63">
        <f t="shared" si="0"/>
        <v>-1</v>
      </c>
      <c r="M63" s="6">
        <f t="shared" si="1"/>
        <v>1</v>
      </c>
      <c r="N63" s="6">
        <f t="shared" si="2"/>
        <v>0.98745589964719716</v>
      </c>
      <c r="O63" s="6">
        <f t="shared" si="3"/>
        <v>0.98928146089718139</v>
      </c>
      <c r="P63">
        <f t="shared" si="4"/>
        <v>571813</v>
      </c>
      <c r="Q63" s="6">
        <f>MIN(Table1[Unit Price])/Table1[[#This Row],[Unit Price]]</f>
        <v>2.2026431718061675E-2</v>
      </c>
      <c r="R63" s="8">
        <f>IF(Table1[[#This Row],[Delivery Delay]]&gt;0,1,0)</f>
        <v>0</v>
      </c>
      <c r="S63" s="6">
        <f>(Table1[[#This Row],[OTD]]*0.4)+(Table1[[#This Row],[Quality Rate]]*0.3)+(Table1[[#This Row],[Fill Rate]]*0.2)+(Table1[[#This Row],[Cost Score]]*0.1)</f>
        <v>0.89647826137039999</v>
      </c>
      <c r="T63">
        <f>MAX(Table1[OTD])</f>
        <v>1</v>
      </c>
      <c r="U63" t="str">
        <f>IF(Table1[[#This Row],[Vendor Score]]&gt;=90%,"Excellent",IF(Table1[[#This Row],[Vendor Score]]&gt;=75%,"Moderate","Poor"))</f>
        <v>Moderate</v>
      </c>
    </row>
    <row r="64" spans="1:21" x14ac:dyDescent="0.35">
      <c r="A64" t="s">
        <v>218</v>
      </c>
      <c r="B64" t="s">
        <v>26</v>
      </c>
      <c r="C64" t="s">
        <v>27</v>
      </c>
      <c r="D64" t="s">
        <v>55</v>
      </c>
      <c r="E64" t="s">
        <v>47</v>
      </c>
      <c r="F64">
        <v>1686</v>
      </c>
      <c r="G64">
        <v>1652</v>
      </c>
      <c r="H64" s="1">
        <v>46347</v>
      </c>
      <c r="I64" s="1">
        <v>46345</v>
      </c>
      <c r="J64">
        <v>20</v>
      </c>
      <c r="K64">
        <v>125</v>
      </c>
      <c r="L64">
        <f t="shared" si="0"/>
        <v>-2</v>
      </c>
      <c r="M64" s="6">
        <f t="shared" si="1"/>
        <v>1</v>
      </c>
      <c r="N64" s="6">
        <f t="shared" si="2"/>
        <v>0.97983392645314349</v>
      </c>
      <c r="O64" s="6">
        <f t="shared" si="3"/>
        <v>0.98789346246973364</v>
      </c>
      <c r="P64">
        <f t="shared" si="4"/>
        <v>206500</v>
      </c>
      <c r="Q64" s="6">
        <f>MIN(Table1[Unit Price])/Table1[[#This Row],[Unit Price]]</f>
        <v>0.04</v>
      </c>
      <c r="R64" s="8">
        <f>IF(Table1[[#This Row],[Delivery Delay]]&gt;0,1,0)</f>
        <v>0</v>
      </c>
      <c r="S64" s="6">
        <f>(Table1[[#This Row],[OTD]]*0.4)+(Table1[[#This Row],[Quality Rate]]*0.3)+(Table1[[#This Row],[Fill Rate]]*0.2)+(Table1[[#This Row],[Cost Score]]*0.1)</f>
        <v>0.89633482403154885</v>
      </c>
      <c r="T64">
        <f>MAX(Table1[OTD])</f>
        <v>1</v>
      </c>
      <c r="U64" t="str">
        <f>IF(Table1[[#This Row],[Vendor Score]]&gt;=90%,"Excellent",IF(Table1[[#This Row],[Vendor Score]]&gt;=75%,"Moderate","Poor"))</f>
        <v>Moderate</v>
      </c>
    </row>
    <row r="65" spans="1:21" x14ac:dyDescent="0.35">
      <c r="A65" t="s">
        <v>128</v>
      </c>
      <c r="B65" t="s">
        <v>38</v>
      </c>
      <c r="C65" t="s">
        <v>39</v>
      </c>
      <c r="D65" t="s">
        <v>14</v>
      </c>
      <c r="E65" t="s">
        <v>70</v>
      </c>
      <c r="F65">
        <v>1518</v>
      </c>
      <c r="G65">
        <v>1475</v>
      </c>
      <c r="H65" s="1">
        <v>46027</v>
      </c>
      <c r="I65" s="1">
        <v>46026</v>
      </c>
      <c r="J65">
        <v>32</v>
      </c>
      <c r="K65">
        <v>59</v>
      </c>
      <c r="L65">
        <f t="shared" si="0"/>
        <v>-1</v>
      </c>
      <c r="M65" s="6">
        <f t="shared" si="1"/>
        <v>1</v>
      </c>
      <c r="N65" s="6">
        <f t="shared" si="2"/>
        <v>0.97167325428194995</v>
      </c>
      <c r="O65" s="6">
        <f t="shared" si="3"/>
        <v>0.97830508474576272</v>
      </c>
      <c r="P65">
        <f t="shared" si="4"/>
        <v>87025</v>
      </c>
      <c r="Q65" s="6">
        <f>MIN(Table1[Unit Price])/Table1[[#This Row],[Unit Price]]</f>
        <v>8.4745762711864403E-2</v>
      </c>
      <c r="R65" s="8">
        <f>IF(Table1[[#This Row],[Delivery Delay]]&gt;0,1,0)</f>
        <v>0</v>
      </c>
      <c r="S65" s="6">
        <f>(Table1[[#This Row],[OTD]]*0.4)+(Table1[[#This Row],[Quality Rate]]*0.3)+(Table1[[#This Row],[Fill Rate]]*0.2)+(Table1[[#This Row],[Cost Score]]*0.1)</f>
        <v>0.89630075255130526</v>
      </c>
      <c r="T65">
        <f>MAX(Table1[OTD])</f>
        <v>1</v>
      </c>
      <c r="U65" t="str">
        <f>IF(Table1[[#This Row],[Vendor Score]]&gt;=90%,"Excellent",IF(Table1[[#This Row],[Vendor Score]]&gt;=75%,"Moderate","Poor"))</f>
        <v>Moderate</v>
      </c>
    </row>
    <row r="66" spans="1:21" x14ac:dyDescent="0.35">
      <c r="A66" t="s">
        <v>414</v>
      </c>
      <c r="B66" t="s">
        <v>42</v>
      </c>
      <c r="C66" t="s">
        <v>43</v>
      </c>
      <c r="D66" t="s">
        <v>33</v>
      </c>
      <c r="E66" t="s">
        <v>15</v>
      </c>
      <c r="F66">
        <v>1929</v>
      </c>
      <c r="G66">
        <v>1901</v>
      </c>
      <c r="H66" s="1">
        <v>46387</v>
      </c>
      <c r="I66" s="1">
        <v>46387</v>
      </c>
      <c r="J66">
        <v>22</v>
      </c>
      <c r="K66">
        <v>189</v>
      </c>
      <c r="L66">
        <f t="shared" ref="L66:L129" si="5">I66-H66</f>
        <v>0</v>
      </c>
      <c r="M66" s="6">
        <f t="shared" ref="M66:M129" si="6">IF(L66&lt;=0,1,0)</f>
        <v>1</v>
      </c>
      <c r="N66" s="6">
        <f t="shared" ref="N66:N129" si="7">G66/F66</f>
        <v>0.98548470710212543</v>
      </c>
      <c r="O66" s="6">
        <f t="shared" ref="O66:O129" si="8">(G66-J66)/G66</f>
        <v>0.98842714360862705</v>
      </c>
      <c r="P66">
        <f t="shared" ref="P66:P129" si="9">G66*K66</f>
        <v>359289</v>
      </c>
      <c r="Q66" s="6">
        <f>MIN(Table1[Unit Price])/Table1[[#This Row],[Unit Price]]</f>
        <v>2.6455026455026454E-2</v>
      </c>
      <c r="R66" s="8">
        <f>IF(Table1[[#This Row],[Delivery Delay]]&gt;0,1,0)</f>
        <v>0</v>
      </c>
      <c r="S66" s="6">
        <f>(Table1[[#This Row],[OTD]]*0.4)+(Table1[[#This Row],[Quality Rate]]*0.3)+(Table1[[#This Row],[Fill Rate]]*0.2)+(Table1[[#This Row],[Cost Score]]*0.1)</f>
        <v>0.89627058714851593</v>
      </c>
      <c r="T66">
        <f>MAX(Table1[OTD])</f>
        <v>1</v>
      </c>
      <c r="U66" t="str">
        <f>IF(Table1[[#This Row],[Vendor Score]]&gt;=90%,"Excellent",IF(Table1[[#This Row],[Vendor Score]]&gt;=75%,"Moderate","Poor"))</f>
        <v>Moderate</v>
      </c>
    </row>
    <row r="67" spans="1:21" x14ac:dyDescent="0.35">
      <c r="A67" t="s">
        <v>116</v>
      </c>
      <c r="B67" t="s">
        <v>38</v>
      </c>
      <c r="C67" t="s">
        <v>39</v>
      </c>
      <c r="D67" t="s">
        <v>14</v>
      </c>
      <c r="E67" t="s">
        <v>15</v>
      </c>
      <c r="F67">
        <v>947</v>
      </c>
      <c r="G67">
        <v>915</v>
      </c>
      <c r="H67" s="1">
        <v>46373</v>
      </c>
      <c r="I67" s="1">
        <v>46371</v>
      </c>
      <c r="J67">
        <v>24</v>
      </c>
      <c r="K67">
        <v>46</v>
      </c>
      <c r="L67">
        <f t="shared" si="5"/>
        <v>-2</v>
      </c>
      <c r="M67" s="6">
        <f t="shared" si="6"/>
        <v>1</v>
      </c>
      <c r="N67" s="6">
        <f t="shared" si="7"/>
        <v>0.96620908130939809</v>
      </c>
      <c r="O67" s="6">
        <f t="shared" si="8"/>
        <v>0.97377049180327868</v>
      </c>
      <c r="P67">
        <f t="shared" si="9"/>
        <v>42090</v>
      </c>
      <c r="Q67" s="6">
        <f>MIN(Table1[Unit Price])/Table1[[#This Row],[Unit Price]]</f>
        <v>0.10869565217391304</v>
      </c>
      <c r="R67" s="8">
        <f>IF(Table1[[#This Row],[Delivery Delay]]&gt;0,1,0)</f>
        <v>0</v>
      </c>
      <c r="S67" s="6">
        <f>(Table1[[#This Row],[OTD]]*0.4)+(Table1[[#This Row],[Quality Rate]]*0.3)+(Table1[[#This Row],[Fill Rate]]*0.2)+(Table1[[#This Row],[Cost Score]]*0.1)</f>
        <v>0.89624252902025459</v>
      </c>
      <c r="T67">
        <f>MAX(Table1[OTD])</f>
        <v>1</v>
      </c>
      <c r="U67" t="str">
        <f>IF(Table1[[#This Row],[Vendor Score]]&gt;=90%,"Excellent",IF(Table1[[#This Row],[Vendor Score]]&gt;=75%,"Moderate","Poor"))</f>
        <v>Moderate</v>
      </c>
    </row>
    <row r="68" spans="1:21" x14ac:dyDescent="0.35">
      <c r="A68" t="s">
        <v>222</v>
      </c>
      <c r="B68" t="s">
        <v>38</v>
      </c>
      <c r="C68" t="s">
        <v>39</v>
      </c>
      <c r="D68" t="s">
        <v>55</v>
      </c>
      <c r="E68" t="s">
        <v>47</v>
      </c>
      <c r="F68">
        <v>3634</v>
      </c>
      <c r="G68">
        <v>3588</v>
      </c>
      <c r="H68" s="1">
        <v>46345</v>
      </c>
      <c r="I68" s="1">
        <v>46343</v>
      </c>
      <c r="J68">
        <v>74</v>
      </c>
      <c r="K68">
        <v>101</v>
      </c>
      <c r="L68">
        <f t="shared" si="5"/>
        <v>-2</v>
      </c>
      <c r="M68" s="6">
        <f t="shared" si="6"/>
        <v>1</v>
      </c>
      <c r="N68" s="6">
        <f t="shared" si="7"/>
        <v>0.98734177215189878</v>
      </c>
      <c r="O68" s="6">
        <f t="shared" si="8"/>
        <v>0.97937569676700109</v>
      </c>
      <c r="P68">
        <f t="shared" si="9"/>
        <v>362388</v>
      </c>
      <c r="Q68" s="6">
        <f>MIN(Table1[Unit Price])/Table1[[#This Row],[Unit Price]]</f>
        <v>4.9504950495049507E-2</v>
      </c>
      <c r="R68" s="8">
        <f>IF(Table1[[#This Row],[Delivery Delay]]&gt;0,1,0)</f>
        <v>0</v>
      </c>
      <c r="S68" s="6">
        <f>(Table1[[#This Row],[OTD]]*0.4)+(Table1[[#This Row],[Quality Rate]]*0.3)+(Table1[[#This Row],[Fill Rate]]*0.2)+(Table1[[#This Row],[Cost Score]]*0.1)</f>
        <v>0.89623155850998504</v>
      </c>
      <c r="T68">
        <f>MAX(Table1[OTD])</f>
        <v>1</v>
      </c>
      <c r="U68" t="str">
        <f>IF(Table1[[#This Row],[Vendor Score]]&gt;=90%,"Excellent",IF(Table1[[#This Row],[Vendor Score]]&gt;=75%,"Moderate","Poor"))</f>
        <v>Moderate</v>
      </c>
    </row>
    <row r="69" spans="1:21" x14ac:dyDescent="0.35">
      <c r="A69" t="s">
        <v>58</v>
      </c>
      <c r="B69" t="s">
        <v>59</v>
      </c>
      <c r="C69" t="s">
        <v>60</v>
      </c>
      <c r="D69" t="s">
        <v>55</v>
      </c>
      <c r="E69" t="s">
        <v>24</v>
      </c>
      <c r="F69">
        <v>1895</v>
      </c>
      <c r="G69">
        <v>1841</v>
      </c>
      <c r="H69" s="1">
        <v>46157</v>
      </c>
      <c r="I69" s="1">
        <v>46155</v>
      </c>
      <c r="J69">
        <v>111</v>
      </c>
      <c r="K69">
        <v>25</v>
      </c>
      <c r="L69">
        <f t="shared" si="5"/>
        <v>-2</v>
      </c>
      <c r="M69" s="6">
        <f t="shared" si="6"/>
        <v>1</v>
      </c>
      <c r="N69" s="6">
        <f t="shared" si="7"/>
        <v>0.97150395778364118</v>
      </c>
      <c r="O69" s="6">
        <f t="shared" si="8"/>
        <v>0.9397066811515481</v>
      </c>
      <c r="P69">
        <f t="shared" si="9"/>
        <v>46025</v>
      </c>
      <c r="Q69" s="6">
        <f>MIN(Table1[Unit Price])/Table1[[#This Row],[Unit Price]]</f>
        <v>0.2</v>
      </c>
      <c r="R69" s="8">
        <f>IF(Table1[[#This Row],[Delivery Delay]]&gt;0,1,0)</f>
        <v>0</v>
      </c>
      <c r="S69" s="6">
        <f>(Table1[[#This Row],[OTD]]*0.4)+(Table1[[#This Row],[Quality Rate]]*0.3)+(Table1[[#This Row],[Fill Rate]]*0.2)+(Table1[[#This Row],[Cost Score]]*0.1)</f>
        <v>0.89621279590219283</v>
      </c>
      <c r="T69">
        <f>MAX(Table1[OTD])</f>
        <v>1</v>
      </c>
      <c r="U69" t="str">
        <f>IF(Table1[[#This Row],[Vendor Score]]&gt;=90%,"Excellent",IF(Table1[[#This Row],[Vendor Score]]&gt;=75%,"Moderate","Poor"))</f>
        <v>Moderate</v>
      </c>
    </row>
    <row r="70" spans="1:21" x14ac:dyDescent="0.35">
      <c r="A70" t="s">
        <v>246</v>
      </c>
      <c r="B70" t="s">
        <v>42</v>
      </c>
      <c r="C70" t="s">
        <v>43</v>
      </c>
      <c r="D70" t="s">
        <v>33</v>
      </c>
      <c r="E70" t="s">
        <v>40</v>
      </c>
      <c r="F70">
        <v>3901</v>
      </c>
      <c r="G70">
        <v>3780</v>
      </c>
      <c r="H70" s="1">
        <v>46260</v>
      </c>
      <c r="I70" s="1">
        <v>46260</v>
      </c>
      <c r="J70">
        <v>43</v>
      </c>
      <c r="K70">
        <v>86</v>
      </c>
      <c r="L70">
        <f t="shared" si="5"/>
        <v>0</v>
      </c>
      <c r="M70" s="6">
        <f t="shared" si="6"/>
        <v>1</v>
      </c>
      <c r="N70" s="6">
        <f t="shared" si="7"/>
        <v>0.96898231222763398</v>
      </c>
      <c r="O70" s="6">
        <f t="shared" si="8"/>
        <v>0.98862433862433863</v>
      </c>
      <c r="P70">
        <f t="shared" si="9"/>
        <v>325080</v>
      </c>
      <c r="Q70" s="6">
        <f>MIN(Table1[Unit Price])/Table1[[#This Row],[Unit Price]]</f>
        <v>5.8139534883720929E-2</v>
      </c>
      <c r="R70" s="8">
        <f>IF(Table1[[#This Row],[Delivery Delay]]&gt;0,1,0)</f>
        <v>0</v>
      </c>
      <c r="S70" s="6">
        <f>(Table1[[#This Row],[OTD]]*0.4)+(Table1[[#This Row],[Quality Rate]]*0.3)+(Table1[[#This Row],[Fill Rate]]*0.2)+(Table1[[#This Row],[Cost Score]]*0.1)</f>
        <v>0.89619771752120059</v>
      </c>
      <c r="T70">
        <f>MAX(Table1[OTD])</f>
        <v>1</v>
      </c>
      <c r="U70" t="str">
        <f>IF(Table1[[#This Row],[Vendor Score]]&gt;=90%,"Excellent",IF(Table1[[#This Row],[Vendor Score]]&gt;=75%,"Moderate","Poor"))</f>
        <v>Moderate</v>
      </c>
    </row>
    <row r="71" spans="1:21" x14ac:dyDescent="0.35">
      <c r="A71" t="s">
        <v>151</v>
      </c>
      <c r="B71" t="s">
        <v>17</v>
      </c>
      <c r="C71" t="s">
        <v>18</v>
      </c>
      <c r="D71" t="s">
        <v>33</v>
      </c>
      <c r="E71" t="s">
        <v>57</v>
      </c>
      <c r="F71">
        <v>3567</v>
      </c>
      <c r="G71">
        <v>3340</v>
      </c>
      <c r="H71" s="1">
        <v>46318</v>
      </c>
      <c r="I71" s="1">
        <v>46316</v>
      </c>
      <c r="J71">
        <v>135</v>
      </c>
      <c r="K71">
        <v>24</v>
      </c>
      <c r="L71">
        <f t="shared" si="5"/>
        <v>-2</v>
      </c>
      <c r="M71" s="6">
        <f t="shared" si="6"/>
        <v>1</v>
      </c>
      <c r="N71" s="6">
        <f t="shared" si="7"/>
        <v>0.93636108774880855</v>
      </c>
      <c r="O71" s="6">
        <f t="shared" si="8"/>
        <v>0.95958083832335328</v>
      </c>
      <c r="P71">
        <f t="shared" si="9"/>
        <v>80160</v>
      </c>
      <c r="Q71" s="6">
        <f>MIN(Table1[Unit Price])/Table1[[#This Row],[Unit Price]]</f>
        <v>0.20833333333333334</v>
      </c>
      <c r="R71" s="8">
        <f>IF(Table1[[#This Row],[Delivery Delay]]&gt;0,1,0)</f>
        <v>0</v>
      </c>
      <c r="S71" s="6">
        <f>(Table1[[#This Row],[OTD]]*0.4)+(Table1[[#This Row],[Quality Rate]]*0.3)+(Table1[[#This Row],[Fill Rate]]*0.2)+(Table1[[#This Row],[Cost Score]]*0.1)</f>
        <v>0.89597980238010111</v>
      </c>
      <c r="T71">
        <f>MAX(Table1[OTD])</f>
        <v>1</v>
      </c>
      <c r="U71" t="str">
        <f>IF(Table1[[#This Row],[Vendor Score]]&gt;=90%,"Excellent",IF(Table1[[#This Row],[Vendor Score]]&gt;=75%,"Moderate","Poor"))</f>
        <v>Moderate</v>
      </c>
    </row>
    <row r="72" spans="1:21" x14ac:dyDescent="0.35">
      <c r="A72" t="s">
        <v>542</v>
      </c>
      <c r="B72" t="s">
        <v>42</v>
      </c>
      <c r="C72" t="s">
        <v>43</v>
      </c>
      <c r="D72" t="s">
        <v>33</v>
      </c>
      <c r="E72" t="s">
        <v>52</v>
      </c>
      <c r="F72">
        <v>1656</v>
      </c>
      <c r="G72">
        <v>1622</v>
      </c>
      <c r="H72" s="1">
        <v>46086</v>
      </c>
      <c r="I72" s="1">
        <v>46086</v>
      </c>
      <c r="J72">
        <v>20</v>
      </c>
      <c r="K72">
        <v>133</v>
      </c>
      <c r="L72">
        <f t="shared" si="5"/>
        <v>0</v>
      </c>
      <c r="M72" s="6">
        <f t="shared" si="6"/>
        <v>1</v>
      </c>
      <c r="N72" s="6">
        <f t="shared" si="7"/>
        <v>0.97946859903381644</v>
      </c>
      <c r="O72" s="6">
        <f t="shared" si="8"/>
        <v>0.98766954377311955</v>
      </c>
      <c r="P72">
        <f t="shared" si="9"/>
        <v>215726</v>
      </c>
      <c r="Q72" s="6">
        <f>MIN(Table1[Unit Price])/Table1[[#This Row],[Unit Price]]</f>
        <v>3.7593984962406013E-2</v>
      </c>
      <c r="R72" s="8">
        <f>IF(Table1[[#This Row],[Delivery Delay]]&gt;0,1,0)</f>
        <v>0</v>
      </c>
      <c r="S72" s="6">
        <f>(Table1[[#This Row],[OTD]]*0.4)+(Table1[[#This Row],[Quality Rate]]*0.3)+(Table1[[#This Row],[Fill Rate]]*0.2)+(Table1[[#This Row],[Cost Score]]*0.1)</f>
        <v>0.89595398143493976</v>
      </c>
      <c r="T72">
        <f>MAX(Table1[OTD])</f>
        <v>1</v>
      </c>
      <c r="U72" t="str">
        <f>IF(Table1[[#This Row],[Vendor Score]]&gt;=90%,"Excellent",IF(Table1[[#This Row],[Vendor Score]]&gt;=75%,"Moderate","Poor"))</f>
        <v>Moderate</v>
      </c>
    </row>
    <row r="73" spans="1:21" x14ac:dyDescent="0.35">
      <c r="A73" t="s">
        <v>391</v>
      </c>
      <c r="B73" t="s">
        <v>59</v>
      </c>
      <c r="C73" t="s">
        <v>60</v>
      </c>
      <c r="D73" t="s">
        <v>33</v>
      </c>
      <c r="E73" t="s">
        <v>28</v>
      </c>
      <c r="F73">
        <v>1749</v>
      </c>
      <c r="G73">
        <v>1695</v>
      </c>
      <c r="H73" s="1">
        <v>46291</v>
      </c>
      <c r="I73" s="1">
        <v>46289</v>
      </c>
      <c r="J73">
        <v>106</v>
      </c>
      <c r="K73">
        <v>24</v>
      </c>
      <c r="L73">
        <f t="shared" si="5"/>
        <v>-2</v>
      </c>
      <c r="M73" s="6">
        <f t="shared" si="6"/>
        <v>1</v>
      </c>
      <c r="N73" s="6">
        <f t="shared" si="7"/>
        <v>0.96912521440823329</v>
      </c>
      <c r="O73" s="6">
        <f t="shared" si="8"/>
        <v>0.93746312684365785</v>
      </c>
      <c r="P73">
        <f t="shared" si="9"/>
        <v>40680</v>
      </c>
      <c r="Q73" s="6">
        <f>MIN(Table1[Unit Price])/Table1[[#This Row],[Unit Price]]</f>
        <v>0.20833333333333334</v>
      </c>
      <c r="R73" s="8">
        <f>IF(Table1[[#This Row],[Delivery Delay]]&gt;0,1,0)</f>
        <v>0</v>
      </c>
      <c r="S73" s="6">
        <f>(Table1[[#This Row],[OTD]]*0.4)+(Table1[[#This Row],[Quality Rate]]*0.3)+(Table1[[#This Row],[Fill Rate]]*0.2)+(Table1[[#This Row],[Cost Score]]*0.1)</f>
        <v>0.8958973142680775</v>
      </c>
      <c r="T73">
        <f>MAX(Table1[OTD])</f>
        <v>1</v>
      </c>
      <c r="U73" t="str">
        <f>IF(Table1[[#This Row],[Vendor Score]]&gt;=90%,"Excellent",IF(Table1[[#This Row],[Vendor Score]]&gt;=75%,"Moderate","Poor"))</f>
        <v>Moderate</v>
      </c>
    </row>
    <row r="74" spans="1:21" x14ac:dyDescent="0.35">
      <c r="A74" t="s">
        <v>283</v>
      </c>
      <c r="B74" t="s">
        <v>38</v>
      </c>
      <c r="C74" t="s">
        <v>39</v>
      </c>
      <c r="D74" t="s">
        <v>19</v>
      </c>
      <c r="E74" t="s">
        <v>63</v>
      </c>
      <c r="F74">
        <v>4084</v>
      </c>
      <c r="G74">
        <v>4069</v>
      </c>
      <c r="H74" s="1">
        <v>46081</v>
      </c>
      <c r="I74" s="1">
        <v>46081</v>
      </c>
      <c r="J74">
        <v>87</v>
      </c>
      <c r="K74">
        <v>170</v>
      </c>
      <c r="L74">
        <f t="shared" si="5"/>
        <v>0</v>
      </c>
      <c r="M74" s="6">
        <f t="shared" si="6"/>
        <v>1</v>
      </c>
      <c r="N74" s="6">
        <f t="shared" si="7"/>
        <v>0.99632713026444664</v>
      </c>
      <c r="O74" s="6">
        <f t="shared" si="8"/>
        <v>0.97861882526419264</v>
      </c>
      <c r="P74">
        <f t="shared" si="9"/>
        <v>691730</v>
      </c>
      <c r="Q74" s="6">
        <f>MIN(Table1[Unit Price])/Table1[[#This Row],[Unit Price]]</f>
        <v>2.9411764705882353E-2</v>
      </c>
      <c r="R74" s="8">
        <f>IF(Table1[[#This Row],[Delivery Delay]]&gt;0,1,0)</f>
        <v>0</v>
      </c>
      <c r="S74" s="6">
        <f>(Table1[[#This Row],[OTD]]*0.4)+(Table1[[#This Row],[Quality Rate]]*0.3)+(Table1[[#This Row],[Fill Rate]]*0.2)+(Table1[[#This Row],[Cost Score]]*0.1)</f>
        <v>0.89579225010273533</v>
      </c>
      <c r="T74">
        <f>MAX(Table1[OTD])</f>
        <v>1</v>
      </c>
      <c r="U74" t="str">
        <f>IF(Table1[[#This Row],[Vendor Score]]&gt;=90%,"Excellent",IF(Table1[[#This Row],[Vendor Score]]&gt;=75%,"Moderate","Poor"))</f>
        <v>Moderate</v>
      </c>
    </row>
    <row r="75" spans="1:21" x14ac:dyDescent="0.35">
      <c r="A75" t="s">
        <v>144</v>
      </c>
      <c r="B75" t="s">
        <v>17</v>
      </c>
      <c r="C75" t="s">
        <v>18</v>
      </c>
      <c r="D75" t="s">
        <v>55</v>
      </c>
      <c r="E75" t="s">
        <v>34</v>
      </c>
      <c r="F75">
        <v>440</v>
      </c>
      <c r="G75">
        <v>438</v>
      </c>
      <c r="H75" s="1">
        <v>46189</v>
      </c>
      <c r="I75" s="1">
        <v>46188</v>
      </c>
      <c r="J75">
        <v>18</v>
      </c>
      <c r="K75">
        <v>56</v>
      </c>
      <c r="L75">
        <f t="shared" si="5"/>
        <v>-1</v>
      </c>
      <c r="M75" s="6">
        <f t="shared" si="6"/>
        <v>1</v>
      </c>
      <c r="N75" s="6">
        <f t="shared" si="7"/>
        <v>0.99545454545454548</v>
      </c>
      <c r="O75" s="6">
        <f t="shared" si="8"/>
        <v>0.95890410958904104</v>
      </c>
      <c r="P75">
        <f t="shared" si="9"/>
        <v>24528</v>
      </c>
      <c r="Q75" s="6">
        <f>MIN(Table1[Unit Price])/Table1[[#This Row],[Unit Price]]</f>
        <v>8.9285714285714288E-2</v>
      </c>
      <c r="R75" s="8">
        <f>IF(Table1[[#This Row],[Delivery Delay]]&gt;0,1,0)</f>
        <v>0</v>
      </c>
      <c r="S75" s="6">
        <f>(Table1[[#This Row],[OTD]]*0.4)+(Table1[[#This Row],[Quality Rate]]*0.3)+(Table1[[#This Row],[Fill Rate]]*0.2)+(Table1[[#This Row],[Cost Score]]*0.1)</f>
        <v>0.89569071339619277</v>
      </c>
      <c r="T75">
        <f>MAX(Table1[OTD])</f>
        <v>1</v>
      </c>
      <c r="U75" t="str">
        <f>IF(Table1[[#This Row],[Vendor Score]]&gt;=90%,"Excellent",IF(Table1[[#This Row],[Vendor Score]]&gt;=75%,"Moderate","Poor"))</f>
        <v>Moderate</v>
      </c>
    </row>
    <row r="76" spans="1:21" x14ac:dyDescent="0.35">
      <c r="A76" t="s">
        <v>500</v>
      </c>
      <c r="B76" t="s">
        <v>26</v>
      </c>
      <c r="C76" t="s">
        <v>27</v>
      </c>
      <c r="D76" t="s">
        <v>55</v>
      </c>
      <c r="E76" t="s">
        <v>34</v>
      </c>
      <c r="F76">
        <v>4810</v>
      </c>
      <c r="G76">
        <v>4691</v>
      </c>
      <c r="H76" s="1">
        <v>46187</v>
      </c>
      <c r="I76" s="1">
        <v>46186</v>
      </c>
      <c r="J76">
        <v>49</v>
      </c>
      <c r="K76">
        <v>137</v>
      </c>
      <c r="L76">
        <f t="shared" si="5"/>
        <v>-1</v>
      </c>
      <c r="M76" s="6">
        <f t="shared" si="6"/>
        <v>1</v>
      </c>
      <c r="N76" s="6">
        <f t="shared" si="7"/>
        <v>0.97525987525987523</v>
      </c>
      <c r="O76" s="6">
        <f t="shared" si="8"/>
        <v>0.98955446599872099</v>
      </c>
      <c r="P76">
        <f t="shared" si="9"/>
        <v>642667</v>
      </c>
      <c r="Q76" s="6">
        <f>MIN(Table1[Unit Price])/Table1[[#This Row],[Unit Price]]</f>
        <v>3.6496350364963501E-2</v>
      </c>
      <c r="R76" s="8">
        <f>IF(Table1[[#This Row],[Delivery Delay]]&gt;0,1,0)</f>
        <v>0</v>
      </c>
      <c r="S76" s="6">
        <f>(Table1[[#This Row],[OTD]]*0.4)+(Table1[[#This Row],[Quality Rate]]*0.3)+(Table1[[#This Row],[Fill Rate]]*0.2)+(Table1[[#This Row],[Cost Score]]*0.1)</f>
        <v>0.89556794988808774</v>
      </c>
      <c r="T76">
        <f>MAX(Table1[OTD])</f>
        <v>1</v>
      </c>
      <c r="U76" t="str">
        <f>IF(Table1[[#This Row],[Vendor Score]]&gt;=90%,"Excellent",IF(Table1[[#This Row],[Vendor Score]]&gt;=75%,"Moderate","Poor"))</f>
        <v>Moderate</v>
      </c>
    </row>
    <row r="77" spans="1:21" x14ac:dyDescent="0.35">
      <c r="A77" t="s">
        <v>107</v>
      </c>
      <c r="B77" t="s">
        <v>26</v>
      </c>
      <c r="C77" t="s">
        <v>27</v>
      </c>
      <c r="D77" t="s">
        <v>55</v>
      </c>
      <c r="E77" t="s">
        <v>28</v>
      </c>
      <c r="F77">
        <v>1168</v>
      </c>
      <c r="G77">
        <v>1153</v>
      </c>
      <c r="H77" s="1">
        <v>46267</v>
      </c>
      <c r="I77" s="1">
        <v>46267</v>
      </c>
      <c r="J77">
        <v>17</v>
      </c>
      <c r="K77">
        <v>205</v>
      </c>
      <c r="L77">
        <f t="shared" si="5"/>
        <v>0</v>
      </c>
      <c r="M77" s="6">
        <f t="shared" si="6"/>
        <v>1</v>
      </c>
      <c r="N77" s="6">
        <f t="shared" si="7"/>
        <v>0.98715753424657537</v>
      </c>
      <c r="O77" s="6">
        <f t="shared" si="8"/>
        <v>0.98525585429314833</v>
      </c>
      <c r="P77">
        <f t="shared" si="9"/>
        <v>236365</v>
      </c>
      <c r="Q77" s="6">
        <f>MIN(Table1[Unit Price])/Table1[[#This Row],[Unit Price]]</f>
        <v>2.4390243902439025E-2</v>
      </c>
      <c r="R77" s="8">
        <f>IF(Table1[[#This Row],[Delivery Delay]]&gt;0,1,0)</f>
        <v>0</v>
      </c>
      <c r="S77" s="6">
        <f>(Table1[[#This Row],[OTD]]*0.4)+(Table1[[#This Row],[Quality Rate]]*0.3)+(Table1[[#This Row],[Fill Rate]]*0.2)+(Table1[[#This Row],[Cost Score]]*0.1)</f>
        <v>0.89544728752750347</v>
      </c>
      <c r="T77">
        <f>MAX(Table1[OTD])</f>
        <v>1</v>
      </c>
      <c r="U77" t="str">
        <f>IF(Table1[[#This Row],[Vendor Score]]&gt;=90%,"Excellent",IF(Table1[[#This Row],[Vendor Score]]&gt;=75%,"Moderate","Poor"))</f>
        <v>Moderate</v>
      </c>
    </row>
    <row r="78" spans="1:21" x14ac:dyDescent="0.35">
      <c r="A78" t="s">
        <v>396</v>
      </c>
      <c r="B78" t="s">
        <v>26</v>
      </c>
      <c r="C78" t="s">
        <v>27</v>
      </c>
      <c r="D78" t="s">
        <v>33</v>
      </c>
      <c r="E78" t="s">
        <v>28</v>
      </c>
      <c r="F78">
        <v>3973</v>
      </c>
      <c r="G78">
        <v>3907</v>
      </c>
      <c r="H78" s="1">
        <v>46289</v>
      </c>
      <c r="I78" s="1">
        <v>46289</v>
      </c>
      <c r="J78">
        <v>44</v>
      </c>
      <c r="K78">
        <v>237</v>
      </c>
      <c r="L78">
        <f t="shared" si="5"/>
        <v>0</v>
      </c>
      <c r="M78" s="6">
        <f t="shared" si="6"/>
        <v>1</v>
      </c>
      <c r="N78" s="6">
        <f t="shared" si="7"/>
        <v>0.98338786810974077</v>
      </c>
      <c r="O78" s="6">
        <f t="shared" si="8"/>
        <v>0.98873816227284361</v>
      </c>
      <c r="P78">
        <f t="shared" si="9"/>
        <v>925959</v>
      </c>
      <c r="Q78" s="6">
        <f>MIN(Table1[Unit Price])/Table1[[#This Row],[Unit Price]]</f>
        <v>2.1097046413502109E-2</v>
      </c>
      <c r="R78" s="8">
        <f>IF(Table1[[#This Row],[Delivery Delay]]&gt;0,1,0)</f>
        <v>0</v>
      </c>
      <c r="S78" s="6">
        <f>(Table1[[#This Row],[OTD]]*0.4)+(Table1[[#This Row],[Quality Rate]]*0.3)+(Table1[[#This Row],[Fill Rate]]*0.2)+(Table1[[#This Row],[Cost Score]]*0.1)</f>
        <v>0.8954087269451515</v>
      </c>
      <c r="T78">
        <f>MAX(Table1[OTD])</f>
        <v>1</v>
      </c>
      <c r="U78" t="str">
        <f>IF(Table1[[#This Row],[Vendor Score]]&gt;=90%,"Excellent",IF(Table1[[#This Row],[Vendor Score]]&gt;=75%,"Moderate","Poor"))</f>
        <v>Moderate</v>
      </c>
    </row>
    <row r="79" spans="1:21" x14ac:dyDescent="0.35">
      <c r="A79" t="s">
        <v>95</v>
      </c>
      <c r="B79" t="s">
        <v>17</v>
      </c>
      <c r="C79" t="s">
        <v>18</v>
      </c>
      <c r="D79" t="s">
        <v>55</v>
      </c>
      <c r="E79" t="s">
        <v>96</v>
      </c>
      <c r="F79">
        <v>3796</v>
      </c>
      <c r="G79">
        <v>3782</v>
      </c>
      <c r="H79" s="1">
        <v>46115</v>
      </c>
      <c r="I79" s="1">
        <v>46115</v>
      </c>
      <c r="J79">
        <v>157</v>
      </c>
      <c r="K79">
        <v>59</v>
      </c>
      <c r="L79">
        <f t="shared" si="5"/>
        <v>0</v>
      </c>
      <c r="M79" s="6">
        <f t="shared" si="6"/>
        <v>1</v>
      </c>
      <c r="N79" s="6">
        <f t="shared" si="7"/>
        <v>0.99631190727081143</v>
      </c>
      <c r="O79" s="6">
        <f t="shared" si="8"/>
        <v>0.95848757271285034</v>
      </c>
      <c r="P79">
        <f t="shared" si="9"/>
        <v>223138</v>
      </c>
      <c r="Q79" s="6">
        <f>MIN(Table1[Unit Price])/Table1[[#This Row],[Unit Price]]</f>
        <v>8.4745762711864403E-2</v>
      </c>
      <c r="R79" s="8">
        <f>IF(Table1[[#This Row],[Delivery Delay]]&gt;0,1,0)</f>
        <v>0</v>
      </c>
      <c r="S79" s="6">
        <f>(Table1[[#This Row],[OTD]]*0.4)+(Table1[[#This Row],[Quality Rate]]*0.3)+(Table1[[#This Row],[Fill Rate]]*0.2)+(Table1[[#This Row],[Cost Score]]*0.1)</f>
        <v>0.89528322953920392</v>
      </c>
      <c r="T79">
        <f>MAX(Table1[OTD])</f>
        <v>1</v>
      </c>
      <c r="U79" t="str">
        <f>IF(Table1[[#This Row],[Vendor Score]]&gt;=90%,"Excellent",IF(Table1[[#This Row],[Vendor Score]]&gt;=75%,"Moderate","Poor"))</f>
        <v>Moderate</v>
      </c>
    </row>
    <row r="80" spans="1:21" x14ac:dyDescent="0.35">
      <c r="A80" t="s">
        <v>230</v>
      </c>
      <c r="B80" t="s">
        <v>30</v>
      </c>
      <c r="C80" t="s">
        <v>31</v>
      </c>
      <c r="D80" t="s">
        <v>14</v>
      </c>
      <c r="E80" t="s">
        <v>47</v>
      </c>
      <c r="F80">
        <v>3017</v>
      </c>
      <c r="G80">
        <v>2943</v>
      </c>
      <c r="H80" s="1">
        <v>46347</v>
      </c>
      <c r="I80" s="1">
        <v>46345</v>
      </c>
      <c r="J80">
        <v>92</v>
      </c>
      <c r="K80">
        <v>53</v>
      </c>
      <c r="L80">
        <f t="shared" si="5"/>
        <v>-2</v>
      </c>
      <c r="M80" s="6">
        <f t="shared" si="6"/>
        <v>1</v>
      </c>
      <c r="N80" s="6">
        <f t="shared" si="7"/>
        <v>0.97547232350016577</v>
      </c>
      <c r="O80" s="6">
        <f t="shared" si="8"/>
        <v>0.96873938158341832</v>
      </c>
      <c r="P80">
        <f t="shared" si="9"/>
        <v>155979</v>
      </c>
      <c r="Q80" s="6">
        <f>MIN(Table1[Unit Price])/Table1[[#This Row],[Unit Price]]</f>
        <v>9.4339622641509441E-2</v>
      </c>
      <c r="R80" s="8">
        <f>IF(Table1[[#This Row],[Delivery Delay]]&gt;0,1,0)</f>
        <v>0</v>
      </c>
      <c r="S80" s="6">
        <f>(Table1[[#This Row],[OTD]]*0.4)+(Table1[[#This Row],[Quality Rate]]*0.3)+(Table1[[#This Row],[Fill Rate]]*0.2)+(Table1[[#This Row],[Cost Score]]*0.1)</f>
        <v>0.89515024143920974</v>
      </c>
      <c r="T80">
        <f>MAX(Table1[OTD])</f>
        <v>1</v>
      </c>
      <c r="U80" t="str">
        <f>IF(Table1[[#This Row],[Vendor Score]]&gt;=90%,"Excellent",IF(Table1[[#This Row],[Vendor Score]]&gt;=75%,"Moderate","Poor"))</f>
        <v>Moderate</v>
      </c>
    </row>
    <row r="81" spans="1:21" x14ac:dyDescent="0.35">
      <c r="A81" t="s">
        <v>148</v>
      </c>
      <c r="B81" t="s">
        <v>26</v>
      </c>
      <c r="C81" t="s">
        <v>27</v>
      </c>
      <c r="D81" t="s">
        <v>55</v>
      </c>
      <c r="E81" t="s">
        <v>52</v>
      </c>
      <c r="F81">
        <v>683</v>
      </c>
      <c r="G81">
        <v>671</v>
      </c>
      <c r="H81" s="1">
        <v>46086</v>
      </c>
      <c r="I81" s="1">
        <v>46085</v>
      </c>
      <c r="J81">
        <v>9</v>
      </c>
      <c r="K81">
        <v>202</v>
      </c>
      <c r="L81">
        <f t="shared" si="5"/>
        <v>-1</v>
      </c>
      <c r="M81" s="6">
        <f t="shared" si="6"/>
        <v>1</v>
      </c>
      <c r="N81" s="6">
        <f t="shared" si="7"/>
        <v>0.98243045387994143</v>
      </c>
      <c r="O81" s="6">
        <f t="shared" si="8"/>
        <v>0.98658718330849482</v>
      </c>
      <c r="P81">
        <f t="shared" si="9"/>
        <v>135542</v>
      </c>
      <c r="Q81" s="6">
        <f>MIN(Table1[Unit Price])/Table1[[#This Row],[Unit Price]]</f>
        <v>2.4752475247524754E-2</v>
      </c>
      <c r="R81" s="8">
        <f>IF(Table1[[#This Row],[Delivery Delay]]&gt;0,1,0)</f>
        <v>0</v>
      </c>
      <c r="S81" s="6">
        <f>(Table1[[#This Row],[OTD]]*0.4)+(Table1[[#This Row],[Quality Rate]]*0.3)+(Table1[[#This Row],[Fill Rate]]*0.2)+(Table1[[#This Row],[Cost Score]]*0.1)</f>
        <v>0.89493749329328931</v>
      </c>
      <c r="T81">
        <f>MAX(Table1[OTD])</f>
        <v>1</v>
      </c>
      <c r="U81" t="str">
        <f>IF(Table1[[#This Row],[Vendor Score]]&gt;=90%,"Excellent",IF(Table1[[#This Row],[Vendor Score]]&gt;=75%,"Moderate","Poor"))</f>
        <v>Moderate</v>
      </c>
    </row>
    <row r="82" spans="1:21" x14ac:dyDescent="0.35">
      <c r="A82" t="s">
        <v>333</v>
      </c>
      <c r="B82" t="s">
        <v>38</v>
      </c>
      <c r="C82" t="s">
        <v>39</v>
      </c>
      <c r="D82" t="s">
        <v>33</v>
      </c>
      <c r="E82" t="s">
        <v>70</v>
      </c>
      <c r="F82">
        <v>2821</v>
      </c>
      <c r="G82">
        <v>2792</v>
      </c>
      <c r="H82" s="1">
        <v>46040</v>
      </c>
      <c r="I82" s="1">
        <v>46039</v>
      </c>
      <c r="J82">
        <v>57</v>
      </c>
      <c r="K82">
        <v>161</v>
      </c>
      <c r="L82">
        <f t="shared" si="5"/>
        <v>-1</v>
      </c>
      <c r="M82" s="6">
        <f t="shared" si="6"/>
        <v>1</v>
      </c>
      <c r="N82" s="6">
        <f t="shared" si="7"/>
        <v>0.9897199574618929</v>
      </c>
      <c r="O82" s="6">
        <f t="shared" si="8"/>
        <v>0.97958452722063039</v>
      </c>
      <c r="P82">
        <f t="shared" si="9"/>
        <v>449512</v>
      </c>
      <c r="Q82" s="6">
        <f>MIN(Table1[Unit Price])/Table1[[#This Row],[Unit Price]]</f>
        <v>3.1055900621118012E-2</v>
      </c>
      <c r="R82" s="8">
        <f>IF(Table1[[#This Row],[Delivery Delay]]&gt;0,1,0)</f>
        <v>0</v>
      </c>
      <c r="S82" s="6">
        <f>(Table1[[#This Row],[OTD]]*0.4)+(Table1[[#This Row],[Quality Rate]]*0.3)+(Table1[[#This Row],[Fill Rate]]*0.2)+(Table1[[#This Row],[Cost Score]]*0.1)</f>
        <v>0.89492493972067955</v>
      </c>
      <c r="T82">
        <f>MAX(Table1[OTD])</f>
        <v>1</v>
      </c>
      <c r="U82" t="str">
        <f>IF(Table1[[#This Row],[Vendor Score]]&gt;=90%,"Excellent",IF(Table1[[#This Row],[Vendor Score]]&gt;=75%,"Moderate","Poor"))</f>
        <v>Moderate</v>
      </c>
    </row>
    <row r="83" spans="1:21" x14ac:dyDescent="0.35">
      <c r="A83" t="s">
        <v>477</v>
      </c>
      <c r="B83" t="s">
        <v>42</v>
      </c>
      <c r="C83" t="s">
        <v>43</v>
      </c>
      <c r="D83" t="s">
        <v>55</v>
      </c>
      <c r="E83" t="s">
        <v>20</v>
      </c>
      <c r="F83">
        <v>4765</v>
      </c>
      <c r="G83">
        <v>4586</v>
      </c>
      <c r="H83" s="1">
        <v>46227</v>
      </c>
      <c r="I83" s="1">
        <v>46225</v>
      </c>
      <c r="J83">
        <v>47</v>
      </c>
      <c r="K83">
        <v>92</v>
      </c>
      <c r="L83">
        <f t="shared" si="5"/>
        <v>-2</v>
      </c>
      <c r="M83" s="6">
        <f t="shared" si="6"/>
        <v>1</v>
      </c>
      <c r="N83" s="6">
        <f t="shared" si="7"/>
        <v>0.96243441762854143</v>
      </c>
      <c r="O83" s="6">
        <f t="shared" si="8"/>
        <v>0.98975141735717398</v>
      </c>
      <c r="P83">
        <f t="shared" si="9"/>
        <v>421912</v>
      </c>
      <c r="Q83" s="6">
        <f>MIN(Table1[Unit Price])/Table1[[#This Row],[Unit Price]]</f>
        <v>5.434782608695652E-2</v>
      </c>
      <c r="R83" s="8">
        <f>IF(Table1[[#This Row],[Delivery Delay]]&gt;0,1,0)</f>
        <v>0</v>
      </c>
      <c r="S83" s="6">
        <f>(Table1[[#This Row],[OTD]]*0.4)+(Table1[[#This Row],[Quality Rate]]*0.3)+(Table1[[#This Row],[Fill Rate]]*0.2)+(Table1[[#This Row],[Cost Score]]*0.1)</f>
        <v>0.89484709134155616</v>
      </c>
      <c r="T83">
        <f>MAX(Table1[OTD])</f>
        <v>1</v>
      </c>
      <c r="U83" t="str">
        <f>IF(Table1[[#This Row],[Vendor Score]]&gt;=90%,"Excellent",IF(Table1[[#This Row],[Vendor Score]]&gt;=75%,"Moderate","Poor"))</f>
        <v>Moderate</v>
      </c>
    </row>
    <row r="84" spans="1:21" x14ac:dyDescent="0.35">
      <c r="A84" t="s">
        <v>442</v>
      </c>
      <c r="B84" t="s">
        <v>42</v>
      </c>
      <c r="C84" t="s">
        <v>43</v>
      </c>
      <c r="D84" t="s">
        <v>55</v>
      </c>
      <c r="E84" t="s">
        <v>57</v>
      </c>
      <c r="F84">
        <v>512</v>
      </c>
      <c r="G84">
        <v>504</v>
      </c>
      <c r="H84" s="1">
        <v>46307</v>
      </c>
      <c r="I84" s="1">
        <v>46306</v>
      </c>
      <c r="J84">
        <v>7</v>
      </c>
      <c r="K84">
        <v>242</v>
      </c>
      <c r="L84">
        <f t="shared" si="5"/>
        <v>-1</v>
      </c>
      <c r="M84" s="6">
        <f t="shared" si="6"/>
        <v>1</v>
      </c>
      <c r="N84" s="6">
        <f t="shared" si="7"/>
        <v>0.984375</v>
      </c>
      <c r="O84" s="6">
        <f t="shared" si="8"/>
        <v>0.98611111111111116</v>
      </c>
      <c r="P84">
        <f t="shared" si="9"/>
        <v>121968</v>
      </c>
      <c r="Q84" s="6">
        <f>MIN(Table1[Unit Price])/Table1[[#This Row],[Unit Price]]</f>
        <v>2.0661157024793389E-2</v>
      </c>
      <c r="R84" s="8">
        <f>IF(Table1[[#This Row],[Delivery Delay]]&gt;0,1,0)</f>
        <v>0</v>
      </c>
      <c r="S84" s="6">
        <f>(Table1[[#This Row],[OTD]]*0.4)+(Table1[[#This Row],[Quality Rate]]*0.3)+(Table1[[#This Row],[Fill Rate]]*0.2)+(Table1[[#This Row],[Cost Score]]*0.1)</f>
        <v>0.89477444903581271</v>
      </c>
      <c r="T84">
        <f>MAX(Table1[OTD])</f>
        <v>1</v>
      </c>
      <c r="U84" t="str">
        <f>IF(Table1[[#This Row],[Vendor Score]]&gt;=90%,"Excellent",IF(Table1[[#This Row],[Vendor Score]]&gt;=75%,"Moderate","Poor"))</f>
        <v>Moderate</v>
      </c>
    </row>
    <row r="85" spans="1:21" x14ac:dyDescent="0.35">
      <c r="A85" t="s">
        <v>272</v>
      </c>
      <c r="B85" t="s">
        <v>26</v>
      </c>
      <c r="C85" t="s">
        <v>27</v>
      </c>
      <c r="D85" t="s">
        <v>55</v>
      </c>
      <c r="E85" t="s">
        <v>15</v>
      </c>
      <c r="F85">
        <v>2199</v>
      </c>
      <c r="G85">
        <v>2126</v>
      </c>
      <c r="H85" s="1">
        <v>46376</v>
      </c>
      <c r="I85" s="1">
        <v>46375</v>
      </c>
      <c r="J85">
        <v>23</v>
      </c>
      <c r="K85">
        <v>109</v>
      </c>
      <c r="L85">
        <f t="shared" si="5"/>
        <v>-1</v>
      </c>
      <c r="M85" s="6">
        <f t="shared" si="6"/>
        <v>1</v>
      </c>
      <c r="N85" s="6">
        <f t="shared" si="7"/>
        <v>0.96680309231468853</v>
      </c>
      <c r="O85" s="6">
        <f t="shared" si="8"/>
        <v>0.98918156161806203</v>
      </c>
      <c r="P85">
        <f t="shared" si="9"/>
        <v>231734</v>
      </c>
      <c r="Q85" s="6">
        <f>MIN(Table1[Unit Price])/Table1[[#This Row],[Unit Price]]</f>
        <v>4.5871559633027525E-2</v>
      </c>
      <c r="R85" s="8">
        <f>IF(Table1[[#This Row],[Delivery Delay]]&gt;0,1,0)</f>
        <v>0</v>
      </c>
      <c r="S85" s="6">
        <f>(Table1[[#This Row],[OTD]]*0.4)+(Table1[[#This Row],[Quality Rate]]*0.3)+(Table1[[#This Row],[Fill Rate]]*0.2)+(Table1[[#This Row],[Cost Score]]*0.1)</f>
        <v>0.89470224291165901</v>
      </c>
      <c r="T85">
        <f>MAX(Table1[OTD])</f>
        <v>1</v>
      </c>
      <c r="U85" t="str">
        <f>IF(Table1[[#This Row],[Vendor Score]]&gt;=90%,"Excellent",IF(Table1[[#This Row],[Vendor Score]]&gt;=75%,"Moderate","Poor"))</f>
        <v>Moderate</v>
      </c>
    </row>
    <row r="86" spans="1:21" x14ac:dyDescent="0.35">
      <c r="A86" t="s">
        <v>287</v>
      </c>
      <c r="B86" t="s">
        <v>30</v>
      </c>
      <c r="C86" t="s">
        <v>31</v>
      </c>
      <c r="D86" t="s">
        <v>14</v>
      </c>
      <c r="E86" t="s">
        <v>96</v>
      </c>
      <c r="F86">
        <v>3893</v>
      </c>
      <c r="G86">
        <v>3809</v>
      </c>
      <c r="H86" s="1">
        <v>46140</v>
      </c>
      <c r="I86" s="1">
        <v>46138</v>
      </c>
      <c r="J86">
        <v>120</v>
      </c>
      <c r="K86">
        <v>64</v>
      </c>
      <c r="L86">
        <f t="shared" si="5"/>
        <v>-2</v>
      </c>
      <c r="M86" s="6">
        <f t="shared" si="6"/>
        <v>1</v>
      </c>
      <c r="N86" s="6">
        <f t="shared" si="7"/>
        <v>0.97842281017210375</v>
      </c>
      <c r="O86" s="6">
        <f t="shared" si="8"/>
        <v>0.96849566815437127</v>
      </c>
      <c r="P86">
        <f t="shared" si="9"/>
        <v>243776</v>
      </c>
      <c r="Q86" s="6">
        <f>MIN(Table1[Unit Price])/Table1[[#This Row],[Unit Price]]</f>
        <v>7.8125E-2</v>
      </c>
      <c r="R86" s="8">
        <f>IF(Table1[[#This Row],[Delivery Delay]]&gt;0,1,0)</f>
        <v>0</v>
      </c>
      <c r="S86" s="6">
        <f>(Table1[[#This Row],[OTD]]*0.4)+(Table1[[#This Row],[Quality Rate]]*0.3)+(Table1[[#This Row],[Fill Rate]]*0.2)+(Table1[[#This Row],[Cost Score]]*0.1)</f>
        <v>0.89404576248073209</v>
      </c>
      <c r="T86">
        <f>MAX(Table1[OTD])</f>
        <v>1</v>
      </c>
      <c r="U86" t="str">
        <f>IF(Table1[[#This Row],[Vendor Score]]&gt;=90%,"Excellent",IF(Table1[[#This Row],[Vendor Score]]&gt;=75%,"Moderate","Poor"))</f>
        <v>Moderate</v>
      </c>
    </row>
    <row r="87" spans="1:21" x14ac:dyDescent="0.35">
      <c r="A87" t="s">
        <v>457</v>
      </c>
      <c r="B87" t="s">
        <v>26</v>
      </c>
      <c r="C87" t="s">
        <v>27</v>
      </c>
      <c r="D87" t="s">
        <v>14</v>
      </c>
      <c r="E87" t="s">
        <v>28</v>
      </c>
      <c r="F87">
        <v>3916</v>
      </c>
      <c r="G87">
        <v>3756</v>
      </c>
      <c r="H87" s="1">
        <v>46279</v>
      </c>
      <c r="I87" s="1">
        <v>46277</v>
      </c>
      <c r="J87">
        <v>42</v>
      </c>
      <c r="K87">
        <v>90</v>
      </c>
      <c r="L87">
        <f t="shared" si="5"/>
        <v>-2</v>
      </c>
      <c r="M87" s="6">
        <f t="shared" si="6"/>
        <v>1</v>
      </c>
      <c r="N87" s="6">
        <f t="shared" si="7"/>
        <v>0.95914198161389175</v>
      </c>
      <c r="O87" s="6">
        <f t="shared" si="8"/>
        <v>0.98881789137380194</v>
      </c>
      <c r="P87">
        <f t="shared" si="9"/>
        <v>338040</v>
      </c>
      <c r="Q87" s="6">
        <f>MIN(Table1[Unit Price])/Table1[[#This Row],[Unit Price]]</f>
        <v>5.5555555555555552E-2</v>
      </c>
      <c r="R87" s="8">
        <f>IF(Table1[[#This Row],[Delivery Delay]]&gt;0,1,0)</f>
        <v>0</v>
      </c>
      <c r="S87" s="6">
        <f>(Table1[[#This Row],[OTD]]*0.4)+(Table1[[#This Row],[Quality Rate]]*0.3)+(Table1[[#This Row],[Fill Rate]]*0.2)+(Table1[[#This Row],[Cost Score]]*0.1)</f>
        <v>0.89402931929047458</v>
      </c>
      <c r="T87">
        <f>MAX(Table1[OTD])</f>
        <v>1</v>
      </c>
      <c r="U87" t="str">
        <f>IF(Table1[[#This Row],[Vendor Score]]&gt;=90%,"Excellent",IF(Table1[[#This Row],[Vendor Score]]&gt;=75%,"Moderate","Poor"))</f>
        <v>Moderate</v>
      </c>
    </row>
    <row r="88" spans="1:21" x14ac:dyDescent="0.35">
      <c r="A88" t="s">
        <v>467</v>
      </c>
      <c r="B88" t="s">
        <v>78</v>
      </c>
      <c r="C88" t="s">
        <v>79</v>
      </c>
      <c r="D88" t="s">
        <v>33</v>
      </c>
      <c r="E88" t="s">
        <v>28</v>
      </c>
      <c r="F88">
        <v>893</v>
      </c>
      <c r="G88">
        <v>852</v>
      </c>
      <c r="H88" s="1">
        <v>46282</v>
      </c>
      <c r="I88" s="1">
        <v>46282</v>
      </c>
      <c r="J88">
        <v>48</v>
      </c>
      <c r="K88">
        <v>25</v>
      </c>
      <c r="L88">
        <f t="shared" si="5"/>
        <v>0</v>
      </c>
      <c r="M88" s="6">
        <f t="shared" si="6"/>
        <v>1</v>
      </c>
      <c r="N88" s="6">
        <f t="shared" si="7"/>
        <v>0.95408734602463607</v>
      </c>
      <c r="O88" s="6">
        <f t="shared" si="8"/>
        <v>0.94366197183098588</v>
      </c>
      <c r="P88">
        <f t="shared" si="9"/>
        <v>21300</v>
      </c>
      <c r="Q88" s="6">
        <f>MIN(Table1[Unit Price])/Table1[[#This Row],[Unit Price]]</f>
        <v>0.2</v>
      </c>
      <c r="R88" s="8">
        <f>IF(Table1[[#This Row],[Delivery Delay]]&gt;0,1,0)</f>
        <v>0</v>
      </c>
      <c r="S88" s="6">
        <f>(Table1[[#This Row],[OTD]]*0.4)+(Table1[[#This Row],[Quality Rate]]*0.3)+(Table1[[#This Row],[Fill Rate]]*0.2)+(Table1[[#This Row],[Cost Score]]*0.1)</f>
        <v>0.89391606075422303</v>
      </c>
      <c r="T88">
        <f>MAX(Table1[OTD])</f>
        <v>1</v>
      </c>
      <c r="U88" t="str">
        <f>IF(Table1[[#This Row],[Vendor Score]]&gt;=90%,"Excellent",IF(Table1[[#This Row],[Vendor Score]]&gt;=75%,"Moderate","Poor"))</f>
        <v>Moderate</v>
      </c>
    </row>
    <row r="89" spans="1:21" x14ac:dyDescent="0.35">
      <c r="A89" t="s">
        <v>154</v>
      </c>
      <c r="B89" t="s">
        <v>38</v>
      </c>
      <c r="C89" t="s">
        <v>39</v>
      </c>
      <c r="D89" t="s">
        <v>19</v>
      </c>
      <c r="E89" t="s">
        <v>20</v>
      </c>
      <c r="F89">
        <v>4507</v>
      </c>
      <c r="G89">
        <v>4449</v>
      </c>
      <c r="H89" s="1">
        <v>46233</v>
      </c>
      <c r="I89" s="1">
        <v>46232</v>
      </c>
      <c r="J89">
        <v>90</v>
      </c>
      <c r="K89">
        <v>201</v>
      </c>
      <c r="L89">
        <f t="shared" si="5"/>
        <v>-1</v>
      </c>
      <c r="M89" s="6">
        <f t="shared" si="6"/>
        <v>1</v>
      </c>
      <c r="N89" s="6">
        <f t="shared" si="7"/>
        <v>0.98713112935433767</v>
      </c>
      <c r="O89" s="6">
        <f t="shared" si="8"/>
        <v>0.97977073499662848</v>
      </c>
      <c r="P89">
        <f t="shared" si="9"/>
        <v>894249</v>
      </c>
      <c r="Q89" s="6">
        <f>MIN(Table1[Unit Price])/Table1[[#This Row],[Unit Price]]</f>
        <v>2.4875621890547265E-2</v>
      </c>
      <c r="R89" s="8">
        <f>IF(Table1[[#This Row],[Delivery Delay]]&gt;0,1,0)</f>
        <v>0</v>
      </c>
      <c r="S89" s="6">
        <f>(Table1[[#This Row],[OTD]]*0.4)+(Table1[[#This Row],[Quality Rate]]*0.3)+(Table1[[#This Row],[Fill Rate]]*0.2)+(Table1[[#This Row],[Cost Score]]*0.1)</f>
        <v>0.8938450085589108</v>
      </c>
      <c r="T89">
        <f>MAX(Table1[OTD])</f>
        <v>1</v>
      </c>
      <c r="U89" t="str">
        <f>IF(Table1[[#This Row],[Vendor Score]]&gt;=90%,"Excellent",IF(Table1[[#This Row],[Vendor Score]]&gt;=75%,"Moderate","Poor"))</f>
        <v>Moderate</v>
      </c>
    </row>
    <row r="90" spans="1:21" x14ac:dyDescent="0.35">
      <c r="A90" t="s">
        <v>336</v>
      </c>
      <c r="B90" t="s">
        <v>12</v>
      </c>
      <c r="C90" t="s">
        <v>13</v>
      </c>
      <c r="D90" t="s">
        <v>19</v>
      </c>
      <c r="E90" t="s">
        <v>15</v>
      </c>
      <c r="F90">
        <v>1516</v>
      </c>
      <c r="G90">
        <v>1403</v>
      </c>
      <c r="H90" s="1">
        <v>46381</v>
      </c>
      <c r="I90" s="1">
        <v>46380</v>
      </c>
      <c r="J90">
        <v>172</v>
      </c>
      <c r="K90">
        <v>11</v>
      </c>
      <c r="L90">
        <f t="shared" si="5"/>
        <v>-1</v>
      </c>
      <c r="M90" s="6">
        <f t="shared" si="6"/>
        <v>1</v>
      </c>
      <c r="N90" s="6">
        <f t="shared" si="7"/>
        <v>0.92546174142480209</v>
      </c>
      <c r="O90" s="6">
        <f t="shared" si="8"/>
        <v>0.87740555951532428</v>
      </c>
      <c r="P90">
        <f t="shared" si="9"/>
        <v>15433</v>
      </c>
      <c r="Q90" s="6">
        <f>MIN(Table1[Unit Price])/Table1[[#This Row],[Unit Price]]</f>
        <v>0.45454545454545453</v>
      </c>
      <c r="R90" s="8">
        <f>IF(Table1[[#This Row],[Delivery Delay]]&gt;0,1,0)</f>
        <v>0</v>
      </c>
      <c r="S90" s="6">
        <f>(Table1[[#This Row],[OTD]]*0.4)+(Table1[[#This Row],[Quality Rate]]*0.3)+(Table1[[#This Row],[Fill Rate]]*0.2)+(Table1[[#This Row],[Cost Score]]*0.1)</f>
        <v>0.89376856159410312</v>
      </c>
      <c r="T90">
        <f>MAX(Table1[OTD])</f>
        <v>1</v>
      </c>
      <c r="U90" t="str">
        <f>IF(Table1[[#This Row],[Vendor Score]]&gt;=90%,"Excellent",IF(Table1[[#This Row],[Vendor Score]]&gt;=75%,"Moderate","Poor"))</f>
        <v>Moderate</v>
      </c>
    </row>
    <row r="91" spans="1:21" x14ac:dyDescent="0.35">
      <c r="A91" t="s">
        <v>146</v>
      </c>
      <c r="B91" t="s">
        <v>17</v>
      </c>
      <c r="C91" t="s">
        <v>18</v>
      </c>
      <c r="D91" t="s">
        <v>19</v>
      </c>
      <c r="E91" t="s">
        <v>40</v>
      </c>
      <c r="F91">
        <v>2257</v>
      </c>
      <c r="G91">
        <v>2203</v>
      </c>
      <c r="H91" s="1">
        <v>46262</v>
      </c>
      <c r="I91" s="1">
        <v>46260</v>
      </c>
      <c r="J91">
        <v>89</v>
      </c>
      <c r="K91">
        <v>47</v>
      </c>
      <c r="L91">
        <f t="shared" si="5"/>
        <v>-2</v>
      </c>
      <c r="M91" s="6">
        <f t="shared" si="6"/>
        <v>1</v>
      </c>
      <c r="N91" s="6">
        <f t="shared" si="7"/>
        <v>0.97607443509082858</v>
      </c>
      <c r="O91" s="6">
        <f t="shared" si="8"/>
        <v>0.95960054471175671</v>
      </c>
      <c r="P91">
        <f t="shared" si="9"/>
        <v>103541</v>
      </c>
      <c r="Q91" s="6">
        <f>MIN(Table1[Unit Price])/Table1[[#This Row],[Unit Price]]</f>
        <v>0.10638297872340426</v>
      </c>
      <c r="R91" s="8">
        <f>IF(Table1[[#This Row],[Delivery Delay]]&gt;0,1,0)</f>
        <v>0</v>
      </c>
      <c r="S91" s="6">
        <f>(Table1[[#This Row],[OTD]]*0.4)+(Table1[[#This Row],[Quality Rate]]*0.3)+(Table1[[#This Row],[Fill Rate]]*0.2)+(Table1[[#This Row],[Cost Score]]*0.1)</f>
        <v>0.89373334830403306</v>
      </c>
      <c r="T91">
        <f>MAX(Table1[OTD])</f>
        <v>1</v>
      </c>
      <c r="U91" t="str">
        <f>IF(Table1[[#This Row],[Vendor Score]]&gt;=90%,"Excellent",IF(Table1[[#This Row],[Vendor Score]]&gt;=75%,"Moderate","Poor"))</f>
        <v>Moderate</v>
      </c>
    </row>
    <row r="92" spans="1:21" x14ac:dyDescent="0.35">
      <c r="A92" t="s">
        <v>35</v>
      </c>
      <c r="B92" t="s">
        <v>26</v>
      </c>
      <c r="C92" t="s">
        <v>27</v>
      </c>
      <c r="D92" t="s">
        <v>33</v>
      </c>
      <c r="E92" t="s">
        <v>15</v>
      </c>
      <c r="F92">
        <v>4952</v>
      </c>
      <c r="G92">
        <v>4809</v>
      </c>
      <c r="H92" s="1">
        <v>46371</v>
      </c>
      <c r="I92" s="1">
        <v>46369</v>
      </c>
      <c r="J92">
        <v>49</v>
      </c>
      <c r="K92">
        <v>226</v>
      </c>
      <c r="L92">
        <f t="shared" si="5"/>
        <v>-2</v>
      </c>
      <c r="M92" s="6">
        <f t="shared" si="6"/>
        <v>1</v>
      </c>
      <c r="N92" s="6">
        <f t="shared" si="7"/>
        <v>0.97112277867528274</v>
      </c>
      <c r="O92" s="6">
        <f t="shared" si="8"/>
        <v>0.98981077147016017</v>
      </c>
      <c r="P92">
        <f t="shared" si="9"/>
        <v>1086834</v>
      </c>
      <c r="Q92" s="6">
        <f>MIN(Table1[Unit Price])/Table1[[#This Row],[Unit Price]]</f>
        <v>2.2123893805309734E-2</v>
      </c>
      <c r="R92" s="8">
        <f>IF(Table1[[#This Row],[Delivery Delay]]&gt;0,1,0)</f>
        <v>0</v>
      </c>
      <c r="S92" s="6">
        <f>(Table1[[#This Row],[OTD]]*0.4)+(Table1[[#This Row],[Quality Rate]]*0.3)+(Table1[[#This Row],[Fill Rate]]*0.2)+(Table1[[#This Row],[Cost Score]]*0.1)</f>
        <v>0.8933801765566356</v>
      </c>
      <c r="T92">
        <f>MAX(Table1[OTD])</f>
        <v>1</v>
      </c>
      <c r="U92" t="str">
        <f>IF(Table1[[#This Row],[Vendor Score]]&gt;=90%,"Excellent",IF(Table1[[#This Row],[Vendor Score]]&gt;=75%,"Moderate","Poor"))</f>
        <v>Moderate</v>
      </c>
    </row>
    <row r="93" spans="1:21" x14ac:dyDescent="0.35">
      <c r="A93" t="s">
        <v>68</v>
      </c>
      <c r="B93" t="s">
        <v>42</v>
      </c>
      <c r="C93" t="s">
        <v>43</v>
      </c>
      <c r="D93" t="s">
        <v>55</v>
      </c>
      <c r="E93" t="s">
        <v>63</v>
      </c>
      <c r="F93">
        <v>1815</v>
      </c>
      <c r="G93">
        <v>1769</v>
      </c>
      <c r="H93" s="1">
        <v>46079</v>
      </c>
      <c r="I93" s="1">
        <v>46079</v>
      </c>
      <c r="J93">
        <v>23</v>
      </c>
      <c r="K93">
        <v>218</v>
      </c>
      <c r="L93">
        <f t="shared" si="5"/>
        <v>0</v>
      </c>
      <c r="M93" s="6">
        <f t="shared" si="6"/>
        <v>1</v>
      </c>
      <c r="N93" s="6">
        <f t="shared" si="7"/>
        <v>0.9746556473829201</v>
      </c>
      <c r="O93" s="6">
        <f t="shared" si="8"/>
        <v>0.98699830412662526</v>
      </c>
      <c r="P93">
        <f t="shared" si="9"/>
        <v>385642</v>
      </c>
      <c r="Q93" s="6">
        <f>MIN(Table1[Unit Price])/Table1[[#This Row],[Unit Price]]</f>
        <v>2.2935779816513763E-2</v>
      </c>
      <c r="R93" s="8">
        <f>IF(Table1[[#This Row],[Delivery Delay]]&gt;0,1,0)</f>
        <v>0</v>
      </c>
      <c r="S93" s="6">
        <f>(Table1[[#This Row],[OTD]]*0.4)+(Table1[[#This Row],[Quality Rate]]*0.3)+(Table1[[#This Row],[Fill Rate]]*0.2)+(Table1[[#This Row],[Cost Score]]*0.1)</f>
        <v>0.89332419869622315</v>
      </c>
      <c r="T93">
        <f>MAX(Table1[OTD])</f>
        <v>1</v>
      </c>
      <c r="U93" t="str">
        <f>IF(Table1[[#This Row],[Vendor Score]]&gt;=90%,"Excellent",IF(Table1[[#This Row],[Vendor Score]]&gt;=75%,"Moderate","Poor"))</f>
        <v>Moderate</v>
      </c>
    </row>
    <row r="94" spans="1:21" x14ac:dyDescent="0.35">
      <c r="A94" t="s">
        <v>413</v>
      </c>
      <c r="B94" t="s">
        <v>42</v>
      </c>
      <c r="C94" t="s">
        <v>43</v>
      </c>
      <c r="D94" t="s">
        <v>33</v>
      </c>
      <c r="E94" t="s">
        <v>28</v>
      </c>
      <c r="F94">
        <v>4032</v>
      </c>
      <c r="G94">
        <v>3916</v>
      </c>
      <c r="H94" s="1">
        <v>46292</v>
      </c>
      <c r="I94" s="1">
        <v>46291</v>
      </c>
      <c r="J94">
        <v>45</v>
      </c>
      <c r="K94">
        <v>198</v>
      </c>
      <c r="L94">
        <f t="shared" si="5"/>
        <v>-1</v>
      </c>
      <c r="M94" s="6">
        <f t="shared" si="6"/>
        <v>1</v>
      </c>
      <c r="N94" s="6">
        <f t="shared" si="7"/>
        <v>0.97123015873015872</v>
      </c>
      <c r="O94" s="6">
        <f t="shared" si="8"/>
        <v>0.9885086823289071</v>
      </c>
      <c r="P94">
        <f t="shared" si="9"/>
        <v>775368</v>
      </c>
      <c r="Q94" s="6">
        <f>MIN(Table1[Unit Price])/Table1[[#This Row],[Unit Price]]</f>
        <v>2.5252525252525252E-2</v>
      </c>
      <c r="R94" s="8">
        <f>IF(Table1[[#This Row],[Delivery Delay]]&gt;0,1,0)</f>
        <v>0</v>
      </c>
      <c r="S94" s="6">
        <f>(Table1[[#This Row],[OTD]]*0.4)+(Table1[[#This Row],[Quality Rate]]*0.3)+(Table1[[#This Row],[Fill Rate]]*0.2)+(Table1[[#This Row],[Cost Score]]*0.1)</f>
        <v>0.89332388896995629</v>
      </c>
      <c r="T94">
        <f>MAX(Table1[OTD])</f>
        <v>1</v>
      </c>
      <c r="U94" t="str">
        <f>IF(Table1[[#This Row],[Vendor Score]]&gt;=90%,"Excellent",IF(Table1[[#This Row],[Vendor Score]]&gt;=75%,"Moderate","Poor"))</f>
        <v>Moderate</v>
      </c>
    </row>
    <row r="95" spans="1:21" x14ac:dyDescent="0.35">
      <c r="A95" t="s">
        <v>521</v>
      </c>
      <c r="B95" t="s">
        <v>42</v>
      </c>
      <c r="C95" t="s">
        <v>43</v>
      </c>
      <c r="D95" t="s">
        <v>14</v>
      </c>
      <c r="E95" t="s">
        <v>34</v>
      </c>
      <c r="F95">
        <v>3967</v>
      </c>
      <c r="G95">
        <v>3846</v>
      </c>
      <c r="H95" s="1">
        <v>46180</v>
      </c>
      <c r="I95" s="1">
        <v>46179</v>
      </c>
      <c r="J95">
        <v>44</v>
      </c>
      <c r="K95">
        <v>176</v>
      </c>
      <c r="L95">
        <f t="shared" si="5"/>
        <v>-1</v>
      </c>
      <c r="M95" s="6">
        <f t="shared" si="6"/>
        <v>1</v>
      </c>
      <c r="N95" s="6">
        <f t="shared" si="7"/>
        <v>0.96949836148222834</v>
      </c>
      <c r="O95" s="6">
        <f t="shared" si="8"/>
        <v>0.9885595423816953</v>
      </c>
      <c r="P95">
        <f t="shared" si="9"/>
        <v>676896</v>
      </c>
      <c r="Q95" s="6">
        <f>MIN(Table1[Unit Price])/Table1[[#This Row],[Unit Price]]</f>
        <v>2.8409090909090908E-2</v>
      </c>
      <c r="R95" s="8">
        <f>IF(Table1[[#This Row],[Delivery Delay]]&gt;0,1,0)</f>
        <v>0</v>
      </c>
      <c r="S95" s="6">
        <f>(Table1[[#This Row],[OTD]]*0.4)+(Table1[[#This Row],[Quality Rate]]*0.3)+(Table1[[#This Row],[Fill Rate]]*0.2)+(Table1[[#This Row],[Cost Score]]*0.1)</f>
        <v>0.89330844410186339</v>
      </c>
      <c r="T95">
        <f>MAX(Table1[OTD])</f>
        <v>1</v>
      </c>
      <c r="U95" t="str">
        <f>IF(Table1[[#This Row],[Vendor Score]]&gt;=90%,"Excellent",IF(Table1[[#This Row],[Vendor Score]]&gt;=75%,"Moderate","Poor"))</f>
        <v>Moderate</v>
      </c>
    </row>
    <row r="96" spans="1:21" x14ac:dyDescent="0.35">
      <c r="A96" t="s">
        <v>48</v>
      </c>
      <c r="B96" t="s">
        <v>26</v>
      </c>
      <c r="C96" t="s">
        <v>27</v>
      </c>
      <c r="D96" t="s">
        <v>19</v>
      </c>
      <c r="E96" t="s">
        <v>15</v>
      </c>
      <c r="F96">
        <v>3023</v>
      </c>
      <c r="G96">
        <v>2892</v>
      </c>
      <c r="H96" s="1">
        <v>46376</v>
      </c>
      <c r="I96" s="1">
        <v>46375</v>
      </c>
      <c r="J96">
        <v>31</v>
      </c>
      <c r="K96">
        <v>97</v>
      </c>
      <c r="L96">
        <f t="shared" si="5"/>
        <v>-1</v>
      </c>
      <c r="M96" s="6">
        <f t="shared" si="6"/>
        <v>1</v>
      </c>
      <c r="N96" s="6">
        <f t="shared" si="7"/>
        <v>0.95666556400926228</v>
      </c>
      <c r="O96" s="6">
        <f t="shared" si="8"/>
        <v>0.98928077455048413</v>
      </c>
      <c r="P96">
        <f t="shared" si="9"/>
        <v>280524</v>
      </c>
      <c r="Q96" s="6">
        <f>MIN(Table1[Unit Price])/Table1[[#This Row],[Unit Price]]</f>
        <v>5.1546391752577317E-2</v>
      </c>
      <c r="R96" s="8">
        <f>IF(Table1[[#This Row],[Delivery Delay]]&gt;0,1,0)</f>
        <v>0</v>
      </c>
      <c r="S96" s="6">
        <f>(Table1[[#This Row],[OTD]]*0.4)+(Table1[[#This Row],[Quality Rate]]*0.3)+(Table1[[#This Row],[Fill Rate]]*0.2)+(Table1[[#This Row],[Cost Score]]*0.1)</f>
        <v>0.89327198434225541</v>
      </c>
      <c r="T96">
        <f>MAX(Table1[OTD])</f>
        <v>1</v>
      </c>
      <c r="U96" t="str">
        <f>IF(Table1[[#This Row],[Vendor Score]]&gt;=90%,"Excellent",IF(Table1[[#This Row],[Vendor Score]]&gt;=75%,"Moderate","Poor"))</f>
        <v>Moderate</v>
      </c>
    </row>
    <row r="97" spans="1:21" x14ac:dyDescent="0.35">
      <c r="A97" t="s">
        <v>340</v>
      </c>
      <c r="B97" t="s">
        <v>42</v>
      </c>
      <c r="C97" t="s">
        <v>43</v>
      </c>
      <c r="D97" t="s">
        <v>19</v>
      </c>
      <c r="E97" t="s">
        <v>63</v>
      </c>
      <c r="F97">
        <v>2286</v>
      </c>
      <c r="G97">
        <v>2225</v>
      </c>
      <c r="H97" s="1">
        <v>46063</v>
      </c>
      <c r="I97" s="1">
        <v>46063</v>
      </c>
      <c r="J97">
        <v>26</v>
      </c>
      <c r="K97">
        <v>242</v>
      </c>
      <c r="L97">
        <f t="shared" si="5"/>
        <v>0</v>
      </c>
      <c r="M97" s="6">
        <f t="shared" si="6"/>
        <v>1</v>
      </c>
      <c r="N97" s="6">
        <f t="shared" si="7"/>
        <v>0.97331583552055989</v>
      </c>
      <c r="O97" s="6">
        <f t="shared" si="8"/>
        <v>0.98831460674157301</v>
      </c>
      <c r="P97">
        <f t="shared" si="9"/>
        <v>538450</v>
      </c>
      <c r="Q97" s="6">
        <f>MIN(Table1[Unit Price])/Table1[[#This Row],[Unit Price]]</f>
        <v>2.0661157024793389E-2</v>
      </c>
      <c r="R97" s="8">
        <f>IF(Table1[[#This Row],[Delivery Delay]]&gt;0,1,0)</f>
        <v>0</v>
      </c>
      <c r="S97" s="6">
        <f>(Table1[[#This Row],[OTD]]*0.4)+(Table1[[#This Row],[Quality Rate]]*0.3)+(Table1[[#This Row],[Fill Rate]]*0.2)+(Table1[[#This Row],[Cost Score]]*0.1)</f>
        <v>0.89322366482906335</v>
      </c>
      <c r="T97">
        <f>MAX(Table1[OTD])</f>
        <v>1</v>
      </c>
      <c r="U97" t="str">
        <f>IF(Table1[[#This Row],[Vendor Score]]&gt;=90%,"Excellent",IF(Table1[[#This Row],[Vendor Score]]&gt;=75%,"Moderate","Poor"))</f>
        <v>Moderate</v>
      </c>
    </row>
    <row r="98" spans="1:21" x14ac:dyDescent="0.35">
      <c r="A98" t="s">
        <v>156</v>
      </c>
      <c r="B98" t="s">
        <v>38</v>
      </c>
      <c r="C98" t="s">
        <v>39</v>
      </c>
      <c r="D98" t="s">
        <v>33</v>
      </c>
      <c r="E98" t="s">
        <v>96</v>
      </c>
      <c r="F98">
        <v>2571</v>
      </c>
      <c r="G98">
        <v>2522</v>
      </c>
      <c r="H98" s="1">
        <v>46136</v>
      </c>
      <c r="I98" s="1">
        <v>46134</v>
      </c>
      <c r="J98">
        <v>55</v>
      </c>
      <c r="K98">
        <v>152</v>
      </c>
      <c r="L98">
        <f t="shared" si="5"/>
        <v>-2</v>
      </c>
      <c r="M98" s="6">
        <f t="shared" si="6"/>
        <v>1</v>
      </c>
      <c r="N98" s="6">
        <f t="shared" si="7"/>
        <v>0.9809412679891093</v>
      </c>
      <c r="O98" s="6">
        <f t="shared" si="8"/>
        <v>0.97819191118160187</v>
      </c>
      <c r="P98">
        <f t="shared" si="9"/>
        <v>383344</v>
      </c>
      <c r="Q98" s="6">
        <f>MIN(Table1[Unit Price])/Table1[[#This Row],[Unit Price]]</f>
        <v>3.2894736842105261E-2</v>
      </c>
      <c r="R98" s="8">
        <f>IF(Table1[[#This Row],[Delivery Delay]]&gt;0,1,0)</f>
        <v>0</v>
      </c>
      <c r="S98" s="6">
        <f>(Table1[[#This Row],[OTD]]*0.4)+(Table1[[#This Row],[Quality Rate]]*0.3)+(Table1[[#This Row],[Fill Rate]]*0.2)+(Table1[[#This Row],[Cost Score]]*0.1)</f>
        <v>0.89293530063651294</v>
      </c>
      <c r="T98">
        <f>MAX(Table1[OTD])</f>
        <v>1</v>
      </c>
      <c r="U98" t="str">
        <f>IF(Table1[[#This Row],[Vendor Score]]&gt;=90%,"Excellent",IF(Table1[[#This Row],[Vendor Score]]&gt;=75%,"Moderate","Poor"))</f>
        <v>Moderate</v>
      </c>
    </row>
    <row r="99" spans="1:21" x14ac:dyDescent="0.35">
      <c r="A99" t="s">
        <v>519</v>
      </c>
      <c r="B99" t="s">
        <v>30</v>
      </c>
      <c r="C99" t="s">
        <v>31</v>
      </c>
      <c r="D99" t="s">
        <v>14</v>
      </c>
      <c r="E99" t="s">
        <v>70</v>
      </c>
      <c r="F99">
        <v>3223</v>
      </c>
      <c r="G99">
        <v>2979</v>
      </c>
      <c r="H99" s="1">
        <v>46039</v>
      </c>
      <c r="I99" s="1">
        <v>46038</v>
      </c>
      <c r="J99">
        <v>92</v>
      </c>
      <c r="K99">
        <v>29</v>
      </c>
      <c r="L99">
        <f t="shared" si="5"/>
        <v>-1</v>
      </c>
      <c r="M99" s="6">
        <f t="shared" si="6"/>
        <v>1</v>
      </c>
      <c r="N99" s="6">
        <f t="shared" si="7"/>
        <v>0.92429413589823151</v>
      </c>
      <c r="O99" s="6">
        <f t="shared" si="8"/>
        <v>0.96911715340718363</v>
      </c>
      <c r="P99">
        <f t="shared" si="9"/>
        <v>86391</v>
      </c>
      <c r="Q99" s="6">
        <f>MIN(Table1[Unit Price])/Table1[[#This Row],[Unit Price]]</f>
        <v>0.17241379310344829</v>
      </c>
      <c r="R99" s="8">
        <f>IF(Table1[[#This Row],[Delivery Delay]]&gt;0,1,0)</f>
        <v>0</v>
      </c>
      <c r="S99" s="6">
        <f>(Table1[[#This Row],[OTD]]*0.4)+(Table1[[#This Row],[Quality Rate]]*0.3)+(Table1[[#This Row],[Fill Rate]]*0.2)+(Table1[[#This Row],[Cost Score]]*0.1)</f>
        <v>0.8928353525121463</v>
      </c>
      <c r="T99">
        <f>MAX(Table1[OTD])</f>
        <v>1</v>
      </c>
      <c r="U99" t="str">
        <f>IF(Table1[[#This Row],[Vendor Score]]&gt;=90%,"Excellent",IF(Table1[[#This Row],[Vendor Score]]&gt;=75%,"Moderate","Poor"))</f>
        <v>Moderate</v>
      </c>
    </row>
    <row r="100" spans="1:21" x14ac:dyDescent="0.35">
      <c r="A100" t="s">
        <v>296</v>
      </c>
      <c r="B100" t="s">
        <v>38</v>
      </c>
      <c r="C100" t="s">
        <v>39</v>
      </c>
      <c r="D100" t="s">
        <v>19</v>
      </c>
      <c r="E100" t="s">
        <v>34</v>
      </c>
      <c r="F100">
        <v>2505</v>
      </c>
      <c r="G100">
        <v>2400</v>
      </c>
      <c r="H100" s="1">
        <v>46191</v>
      </c>
      <c r="I100" s="1">
        <v>46191</v>
      </c>
      <c r="J100">
        <v>52</v>
      </c>
      <c r="K100">
        <v>66</v>
      </c>
      <c r="L100">
        <f t="shared" si="5"/>
        <v>0</v>
      </c>
      <c r="M100" s="6">
        <f t="shared" si="6"/>
        <v>1</v>
      </c>
      <c r="N100" s="6">
        <f t="shared" si="7"/>
        <v>0.95808383233532934</v>
      </c>
      <c r="O100" s="6">
        <f t="shared" si="8"/>
        <v>0.97833333333333339</v>
      </c>
      <c r="P100">
        <f t="shared" si="9"/>
        <v>158400</v>
      </c>
      <c r="Q100" s="6">
        <f>MIN(Table1[Unit Price])/Table1[[#This Row],[Unit Price]]</f>
        <v>7.575757575757576E-2</v>
      </c>
      <c r="R100" s="8">
        <f>IF(Table1[[#This Row],[Delivery Delay]]&gt;0,1,0)</f>
        <v>0</v>
      </c>
      <c r="S100" s="6">
        <f>(Table1[[#This Row],[OTD]]*0.4)+(Table1[[#This Row],[Quality Rate]]*0.3)+(Table1[[#This Row],[Fill Rate]]*0.2)+(Table1[[#This Row],[Cost Score]]*0.1)</f>
        <v>0.8926925240428234</v>
      </c>
      <c r="T100">
        <f>MAX(Table1[OTD])</f>
        <v>1</v>
      </c>
      <c r="U100" t="str">
        <f>IF(Table1[[#This Row],[Vendor Score]]&gt;=90%,"Excellent",IF(Table1[[#This Row],[Vendor Score]]&gt;=75%,"Moderate","Poor"))</f>
        <v>Moderate</v>
      </c>
    </row>
    <row r="101" spans="1:21" x14ac:dyDescent="0.35">
      <c r="A101" t="s">
        <v>220</v>
      </c>
      <c r="B101" t="s">
        <v>17</v>
      </c>
      <c r="C101" t="s">
        <v>18</v>
      </c>
      <c r="D101" t="s">
        <v>33</v>
      </c>
      <c r="E101" t="s">
        <v>28</v>
      </c>
      <c r="F101">
        <v>288</v>
      </c>
      <c r="G101">
        <v>285</v>
      </c>
      <c r="H101" s="1">
        <v>46269</v>
      </c>
      <c r="I101" s="1">
        <v>46269</v>
      </c>
      <c r="J101">
        <v>12</v>
      </c>
      <c r="K101">
        <v>68</v>
      </c>
      <c r="L101">
        <f t="shared" si="5"/>
        <v>0</v>
      </c>
      <c r="M101" s="6">
        <f t="shared" si="6"/>
        <v>1</v>
      </c>
      <c r="N101" s="6">
        <f t="shared" si="7"/>
        <v>0.98958333333333337</v>
      </c>
      <c r="O101" s="6">
        <f t="shared" si="8"/>
        <v>0.95789473684210524</v>
      </c>
      <c r="P101">
        <f t="shared" si="9"/>
        <v>19380</v>
      </c>
      <c r="Q101" s="6">
        <f>MIN(Table1[Unit Price])/Table1[[#This Row],[Unit Price]]</f>
        <v>7.3529411764705885E-2</v>
      </c>
      <c r="R101" s="8">
        <f>IF(Table1[[#This Row],[Delivery Delay]]&gt;0,1,0)</f>
        <v>0</v>
      </c>
      <c r="S101" s="6">
        <f>(Table1[[#This Row],[OTD]]*0.4)+(Table1[[#This Row],[Quality Rate]]*0.3)+(Table1[[#This Row],[Fill Rate]]*0.2)+(Table1[[#This Row],[Cost Score]]*0.1)</f>
        <v>0.89263802889576893</v>
      </c>
      <c r="T101">
        <f>MAX(Table1[OTD])</f>
        <v>1</v>
      </c>
      <c r="U101" t="str">
        <f>IF(Table1[[#This Row],[Vendor Score]]&gt;=90%,"Excellent",IF(Table1[[#This Row],[Vendor Score]]&gt;=75%,"Moderate","Poor"))</f>
        <v>Moderate</v>
      </c>
    </row>
    <row r="102" spans="1:21" x14ac:dyDescent="0.35">
      <c r="A102" t="s">
        <v>438</v>
      </c>
      <c r="B102" t="s">
        <v>59</v>
      </c>
      <c r="C102" t="s">
        <v>60</v>
      </c>
      <c r="D102" t="s">
        <v>55</v>
      </c>
      <c r="E102" t="s">
        <v>70</v>
      </c>
      <c r="F102">
        <v>3887</v>
      </c>
      <c r="G102">
        <v>3835</v>
      </c>
      <c r="H102" s="1">
        <v>46043</v>
      </c>
      <c r="I102" s="1">
        <v>46041</v>
      </c>
      <c r="J102">
        <v>234</v>
      </c>
      <c r="K102">
        <v>37</v>
      </c>
      <c r="L102">
        <f t="shared" si="5"/>
        <v>-2</v>
      </c>
      <c r="M102" s="6">
        <f t="shared" si="6"/>
        <v>1</v>
      </c>
      <c r="N102" s="6">
        <f t="shared" si="7"/>
        <v>0.98662207357859533</v>
      </c>
      <c r="O102" s="6">
        <f t="shared" si="8"/>
        <v>0.93898305084745759</v>
      </c>
      <c r="P102">
        <f t="shared" si="9"/>
        <v>141895</v>
      </c>
      <c r="Q102" s="6">
        <f>MIN(Table1[Unit Price])/Table1[[#This Row],[Unit Price]]</f>
        <v>0.13513513513513514</v>
      </c>
      <c r="R102" s="8">
        <f>IF(Table1[[#This Row],[Delivery Delay]]&gt;0,1,0)</f>
        <v>0</v>
      </c>
      <c r="S102" s="6">
        <f>(Table1[[#This Row],[OTD]]*0.4)+(Table1[[#This Row],[Quality Rate]]*0.3)+(Table1[[#This Row],[Fill Rate]]*0.2)+(Table1[[#This Row],[Cost Score]]*0.1)</f>
        <v>0.89253284348346984</v>
      </c>
      <c r="T102">
        <f>MAX(Table1[OTD])</f>
        <v>1</v>
      </c>
      <c r="U102" t="str">
        <f>IF(Table1[[#This Row],[Vendor Score]]&gt;=90%,"Excellent",IF(Table1[[#This Row],[Vendor Score]]&gt;=75%,"Moderate","Poor"))</f>
        <v>Moderate</v>
      </c>
    </row>
    <row r="103" spans="1:21" x14ac:dyDescent="0.35">
      <c r="A103" t="s">
        <v>431</v>
      </c>
      <c r="B103" t="s">
        <v>38</v>
      </c>
      <c r="C103" t="s">
        <v>39</v>
      </c>
      <c r="D103" t="s">
        <v>14</v>
      </c>
      <c r="E103" t="s">
        <v>96</v>
      </c>
      <c r="F103">
        <v>2705</v>
      </c>
      <c r="G103">
        <v>2649</v>
      </c>
      <c r="H103" s="1">
        <v>46136</v>
      </c>
      <c r="I103" s="1">
        <v>46135</v>
      </c>
      <c r="J103">
        <v>54</v>
      </c>
      <c r="K103">
        <v>181</v>
      </c>
      <c r="L103">
        <f t="shared" si="5"/>
        <v>-1</v>
      </c>
      <c r="M103" s="6">
        <f t="shared" si="6"/>
        <v>1</v>
      </c>
      <c r="N103" s="6">
        <f t="shared" si="7"/>
        <v>0.97929759704251385</v>
      </c>
      <c r="O103" s="6">
        <f t="shared" si="8"/>
        <v>0.97961494903737256</v>
      </c>
      <c r="P103">
        <f t="shared" si="9"/>
        <v>479469</v>
      </c>
      <c r="Q103" s="6">
        <f>MIN(Table1[Unit Price])/Table1[[#This Row],[Unit Price]]</f>
        <v>2.7624309392265192E-2</v>
      </c>
      <c r="R103" s="8">
        <f>IF(Table1[[#This Row],[Delivery Delay]]&gt;0,1,0)</f>
        <v>0</v>
      </c>
      <c r="S103" s="6">
        <f>(Table1[[#This Row],[OTD]]*0.4)+(Table1[[#This Row],[Quality Rate]]*0.3)+(Table1[[#This Row],[Fill Rate]]*0.2)+(Table1[[#This Row],[Cost Score]]*0.1)</f>
        <v>0.89250643505894112</v>
      </c>
      <c r="T103">
        <f>MAX(Table1[OTD])</f>
        <v>1</v>
      </c>
      <c r="U103" t="str">
        <f>IF(Table1[[#This Row],[Vendor Score]]&gt;=90%,"Excellent",IF(Table1[[#This Row],[Vendor Score]]&gt;=75%,"Moderate","Poor"))</f>
        <v>Moderate</v>
      </c>
    </row>
    <row r="104" spans="1:21" x14ac:dyDescent="0.35">
      <c r="A104" t="s">
        <v>512</v>
      </c>
      <c r="B104" t="s">
        <v>26</v>
      </c>
      <c r="C104" t="s">
        <v>27</v>
      </c>
      <c r="D104" t="s">
        <v>55</v>
      </c>
      <c r="E104" t="s">
        <v>57</v>
      </c>
      <c r="F104">
        <v>3922</v>
      </c>
      <c r="G104">
        <v>3764</v>
      </c>
      <c r="H104" s="1">
        <v>46298</v>
      </c>
      <c r="I104" s="1">
        <v>46297</v>
      </c>
      <c r="J104">
        <v>42</v>
      </c>
      <c r="K104">
        <v>129</v>
      </c>
      <c r="L104">
        <f t="shared" si="5"/>
        <v>-1</v>
      </c>
      <c r="M104" s="6">
        <f t="shared" si="6"/>
        <v>1</v>
      </c>
      <c r="N104" s="6">
        <f t="shared" si="7"/>
        <v>0.95971443141254464</v>
      </c>
      <c r="O104" s="6">
        <f t="shared" si="8"/>
        <v>0.98884165781083955</v>
      </c>
      <c r="P104">
        <f t="shared" si="9"/>
        <v>485556</v>
      </c>
      <c r="Q104" s="6">
        <f>MIN(Table1[Unit Price])/Table1[[#This Row],[Unit Price]]</f>
        <v>3.875968992248062E-2</v>
      </c>
      <c r="R104" s="8">
        <f>IF(Table1[[#This Row],[Delivery Delay]]&gt;0,1,0)</f>
        <v>0</v>
      </c>
      <c r="S104" s="6">
        <f>(Table1[[#This Row],[OTD]]*0.4)+(Table1[[#This Row],[Quality Rate]]*0.3)+(Table1[[#This Row],[Fill Rate]]*0.2)+(Table1[[#This Row],[Cost Score]]*0.1)</f>
        <v>0.89247135261800881</v>
      </c>
      <c r="T104">
        <f>MAX(Table1[OTD])</f>
        <v>1</v>
      </c>
      <c r="U104" t="str">
        <f>IF(Table1[[#This Row],[Vendor Score]]&gt;=90%,"Excellent",IF(Table1[[#This Row],[Vendor Score]]&gt;=75%,"Moderate","Poor"))</f>
        <v>Moderate</v>
      </c>
    </row>
    <row r="105" spans="1:21" x14ac:dyDescent="0.35">
      <c r="A105" t="s">
        <v>310</v>
      </c>
      <c r="B105" t="s">
        <v>38</v>
      </c>
      <c r="C105" t="s">
        <v>39</v>
      </c>
      <c r="D105" t="s">
        <v>19</v>
      </c>
      <c r="E105" t="s">
        <v>28</v>
      </c>
      <c r="F105">
        <v>3493</v>
      </c>
      <c r="G105">
        <v>3431</v>
      </c>
      <c r="H105" s="1">
        <v>46285</v>
      </c>
      <c r="I105" s="1">
        <v>46284</v>
      </c>
      <c r="J105">
        <v>70</v>
      </c>
      <c r="K105">
        <v>237</v>
      </c>
      <c r="L105">
        <f t="shared" si="5"/>
        <v>-1</v>
      </c>
      <c r="M105" s="6">
        <f t="shared" si="6"/>
        <v>1</v>
      </c>
      <c r="N105" s="6">
        <f t="shared" si="7"/>
        <v>0.98225021471514462</v>
      </c>
      <c r="O105" s="6">
        <f t="shared" si="8"/>
        <v>0.97959778490236082</v>
      </c>
      <c r="P105">
        <f t="shared" si="9"/>
        <v>813147</v>
      </c>
      <c r="Q105" s="6">
        <f>MIN(Table1[Unit Price])/Table1[[#This Row],[Unit Price]]</f>
        <v>2.1097046413502109E-2</v>
      </c>
      <c r="R105" s="8">
        <f>IF(Table1[[#This Row],[Delivery Delay]]&gt;0,1,0)</f>
        <v>0</v>
      </c>
      <c r="S105" s="6">
        <f>(Table1[[#This Row],[OTD]]*0.4)+(Table1[[#This Row],[Quality Rate]]*0.3)+(Table1[[#This Row],[Fill Rate]]*0.2)+(Table1[[#This Row],[Cost Score]]*0.1)</f>
        <v>0.89243908305508735</v>
      </c>
      <c r="T105">
        <f>MAX(Table1[OTD])</f>
        <v>1</v>
      </c>
      <c r="U105" t="str">
        <f>IF(Table1[[#This Row],[Vendor Score]]&gt;=90%,"Excellent",IF(Table1[[#This Row],[Vendor Score]]&gt;=75%,"Moderate","Poor"))</f>
        <v>Moderate</v>
      </c>
    </row>
    <row r="106" spans="1:21" x14ac:dyDescent="0.35">
      <c r="A106" t="s">
        <v>539</v>
      </c>
      <c r="B106" t="s">
        <v>30</v>
      </c>
      <c r="C106" t="s">
        <v>31</v>
      </c>
      <c r="D106" t="s">
        <v>19</v>
      </c>
      <c r="E106" t="s">
        <v>52</v>
      </c>
      <c r="F106">
        <v>332</v>
      </c>
      <c r="G106">
        <v>331</v>
      </c>
      <c r="H106" s="1">
        <v>46089</v>
      </c>
      <c r="I106" s="1">
        <v>46088</v>
      </c>
      <c r="J106">
        <v>11</v>
      </c>
      <c r="K106">
        <v>169</v>
      </c>
      <c r="L106">
        <f t="shared" si="5"/>
        <v>-1</v>
      </c>
      <c r="M106" s="6">
        <f t="shared" si="6"/>
        <v>1</v>
      </c>
      <c r="N106" s="6">
        <f t="shared" si="7"/>
        <v>0.99698795180722888</v>
      </c>
      <c r="O106" s="6">
        <f t="shared" si="8"/>
        <v>0.96676737160120851</v>
      </c>
      <c r="P106">
        <f t="shared" si="9"/>
        <v>55939</v>
      </c>
      <c r="Q106" s="6">
        <f>MIN(Table1[Unit Price])/Table1[[#This Row],[Unit Price]]</f>
        <v>2.9585798816568046E-2</v>
      </c>
      <c r="R106" s="8">
        <f>IF(Table1[[#This Row],[Delivery Delay]]&gt;0,1,0)</f>
        <v>0</v>
      </c>
      <c r="S106" s="6">
        <f>(Table1[[#This Row],[OTD]]*0.4)+(Table1[[#This Row],[Quality Rate]]*0.3)+(Table1[[#This Row],[Fill Rate]]*0.2)+(Table1[[#This Row],[Cost Score]]*0.1)</f>
        <v>0.89238638172346518</v>
      </c>
      <c r="T106">
        <f>MAX(Table1[OTD])</f>
        <v>1</v>
      </c>
      <c r="U106" t="str">
        <f>IF(Table1[[#This Row],[Vendor Score]]&gt;=90%,"Excellent",IF(Table1[[#This Row],[Vendor Score]]&gt;=75%,"Moderate","Poor"))</f>
        <v>Moderate</v>
      </c>
    </row>
    <row r="107" spans="1:21" x14ac:dyDescent="0.35">
      <c r="A107" t="s">
        <v>142</v>
      </c>
      <c r="B107" t="s">
        <v>30</v>
      </c>
      <c r="C107" t="s">
        <v>31</v>
      </c>
      <c r="D107" t="s">
        <v>14</v>
      </c>
      <c r="E107" t="s">
        <v>52</v>
      </c>
      <c r="F107">
        <v>1807</v>
      </c>
      <c r="G107">
        <v>1803</v>
      </c>
      <c r="H107" s="1">
        <v>46105</v>
      </c>
      <c r="I107" s="1">
        <v>46105</v>
      </c>
      <c r="J107">
        <v>56</v>
      </c>
      <c r="K107">
        <v>243</v>
      </c>
      <c r="L107">
        <f t="shared" si="5"/>
        <v>0</v>
      </c>
      <c r="M107" s="6">
        <f t="shared" si="6"/>
        <v>1</v>
      </c>
      <c r="N107" s="6">
        <f t="shared" si="7"/>
        <v>0.99778638627559491</v>
      </c>
      <c r="O107" s="6">
        <f t="shared" si="8"/>
        <v>0.96894065446478095</v>
      </c>
      <c r="P107">
        <f t="shared" si="9"/>
        <v>438129</v>
      </c>
      <c r="Q107" s="6">
        <f>MIN(Table1[Unit Price])/Table1[[#This Row],[Unit Price]]</f>
        <v>2.0576131687242798E-2</v>
      </c>
      <c r="R107" s="8">
        <f>IF(Table1[[#This Row],[Delivery Delay]]&gt;0,1,0)</f>
        <v>0</v>
      </c>
      <c r="S107" s="6">
        <f>(Table1[[#This Row],[OTD]]*0.4)+(Table1[[#This Row],[Quality Rate]]*0.3)+(Table1[[#This Row],[Fill Rate]]*0.2)+(Table1[[#This Row],[Cost Score]]*0.1)</f>
        <v>0.89229708676327757</v>
      </c>
      <c r="T107">
        <f>MAX(Table1[OTD])</f>
        <v>1</v>
      </c>
      <c r="U107" t="str">
        <f>IF(Table1[[#This Row],[Vendor Score]]&gt;=90%,"Excellent",IF(Table1[[#This Row],[Vendor Score]]&gt;=75%,"Moderate","Poor"))</f>
        <v>Moderate</v>
      </c>
    </row>
    <row r="108" spans="1:21" x14ac:dyDescent="0.35">
      <c r="A108" t="s">
        <v>271</v>
      </c>
      <c r="B108" t="s">
        <v>78</v>
      </c>
      <c r="C108" t="s">
        <v>79</v>
      </c>
      <c r="D108" t="s">
        <v>55</v>
      </c>
      <c r="E108" t="s">
        <v>57</v>
      </c>
      <c r="F108">
        <v>4302</v>
      </c>
      <c r="G108">
        <v>4241</v>
      </c>
      <c r="H108" s="1">
        <v>46321</v>
      </c>
      <c r="I108" s="1">
        <v>46320</v>
      </c>
      <c r="J108">
        <v>214</v>
      </c>
      <c r="K108">
        <v>49</v>
      </c>
      <c r="L108">
        <f t="shared" si="5"/>
        <v>-1</v>
      </c>
      <c r="M108" s="6">
        <f t="shared" si="6"/>
        <v>1</v>
      </c>
      <c r="N108" s="6">
        <f t="shared" si="7"/>
        <v>0.98582054858205481</v>
      </c>
      <c r="O108" s="6">
        <f t="shared" si="8"/>
        <v>0.94954020278236262</v>
      </c>
      <c r="P108">
        <f t="shared" si="9"/>
        <v>207809</v>
      </c>
      <c r="Q108" s="6">
        <f>MIN(Table1[Unit Price])/Table1[[#This Row],[Unit Price]]</f>
        <v>0.10204081632653061</v>
      </c>
      <c r="R108" s="8">
        <f>IF(Table1[[#This Row],[Delivery Delay]]&gt;0,1,0)</f>
        <v>0</v>
      </c>
      <c r="S108" s="6">
        <f>(Table1[[#This Row],[OTD]]*0.4)+(Table1[[#This Row],[Quality Rate]]*0.3)+(Table1[[#This Row],[Fill Rate]]*0.2)+(Table1[[#This Row],[Cost Score]]*0.1)</f>
        <v>0.89223025218377283</v>
      </c>
      <c r="T108">
        <f>MAX(Table1[OTD])</f>
        <v>1</v>
      </c>
      <c r="U108" t="str">
        <f>IF(Table1[[#This Row],[Vendor Score]]&gt;=90%,"Excellent",IF(Table1[[#This Row],[Vendor Score]]&gt;=75%,"Moderate","Poor"))</f>
        <v>Moderate</v>
      </c>
    </row>
    <row r="109" spans="1:21" x14ac:dyDescent="0.35">
      <c r="A109" t="s">
        <v>435</v>
      </c>
      <c r="B109" t="s">
        <v>59</v>
      </c>
      <c r="C109" t="s">
        <v>60</v>
      </c>
      <c r="D109" t="s">
        <v>14</v>
      </c>
      <c r="E109" t="s">
        <v>40</v>
      </c>
      <c r="F109">
        <v>3682</v>
      </c>
      <c r="G109">
        <v>3646</v>
      </c>
      <c r="H109" s="1">
        <v>46246</v>
      </c>
      <c r="I109" s="1">
        <v>46245</v>
      </c>
      <c r="J109">
        <v>220</v>
      </c>
      <c r="K109">
        <v>41</v>
      </c>
      <c r="L109">
        <f t="shared" si="5"/>
        <v>-1</v>
      </c>
      <c r="M109" s="6">
        <f t="shared" si="6"/>
        <v>1</v>
      </c>
      <c r="N109" s="6">
        <f t="shared" si="7"/>
        <v>0.99022270505160237</v>
      </c>
      <c r="O109" s="6">
        <f t="shared" si="8"/>
        <v>0.93965990126165666</v>
      </c>
      <c r="P109">
        <f t="shared" si="9"/>
        <v>149486</v>
      </c>
      <c r="Q109" s="6">
        <f>MIN(Table1[Unit Price])/Table1[[#This Row],[Unit Price]]</f>
        <v>0.12195121951219512</v>
      </c>
      <c r="R109" s="8">
        <f>IF(Table1[[#This Row],[Delivery Delay]]&gt;0,1,0)</f>
        <v>0</v>
      </c>
      <c r="S109" s="6">
        <f>(Table1[[#This Row],[OTD]]*0.4)+(Table1[[#This Row],[Quality Rate]]*0.3)+(Table1[[#This Row],[Fill Rate]]*0.2)+(Table1[[#This Row],[Cost Score]]*0.1)</f>
        <v>0.89213763334003704</v>
      </c>
      <c r="T109">
        <f>MAX(Table1[OTD])</f>
        <v>1</v>
      </c>
      <c r="U109" t="str">
        <f>IF(Table1[[#This Row],[Vendor Score]]&gt;=90%,"Excellent",IF(Table1[[#This Row],[Vendor Score]]&gt;=75%,"Moderate","Poor"))</f>
        <v>Moderate</v>
      </c>
    </row>
    <row r="110" spans="1:21" x14ac:dyDescent="0.35">
      <c r="A110" t="s">
        <v>105</v>
      </c>
      <c r="B110" t="s">
        <v>30</v>
      </c>
      <c r="C110" t="s">
        <v>31</v>
      </c>
      <c r="D110" t="s">
        <v>55</v>
      </c>
      <c r="E110" t="s">
        <v>34</v>
      </c>
      <c r="F110">
        <v>2366</v>
      </c>
      <c r="G110">
        <v>2206</v>
      </c>
      <c r="H110" s="1">
        <v>46194</v>
      </c>
      <c r="I110" s="1">
        <v>46193</v>
      </c>
      <c r="J110">
        <v>70</v>
      </c>
      <c r="K110">
        <v>33</v>
      </c>
      <c r="L110">
        <f t="shared" si="5"/>
        <v>-1</v>
      </c>
      <c r="M110" s="6">
        <f t="shared" si="6"/>
        <v>1</v>
      </c>
      <c r="N110" s="6">
        <f t="shared" si="7"/>
        <v>0.93237531699070164</v>
      </c>
      <c r="O110" s="6">
        <f t="shared" si="8"/>
        <v>0.96826835902085218</v>
      </c>
      <c r="P110">
        <f t="shared" si="9"/>
        <v>72798</v>
      </c>
      <c r="Q110" s="6">
        <f>MIN(Table1[Unit Price])/Table1[[#This Row],[Unit Price]]</f>
        <v>0.15151515151515152</v>
      </c>
      <c r="R110" s="8">
        <f>IF(Table1[[#This Row],[Delivery Delay]]&gt;0,1,0)</f>
        <v>0</v>
      </c>
      <c r="S110" s="6">
        <f>(Table1[[#This Row],[OTD]]*0.4)+(Table1[[#This Row],[Quality Rate]]*0.3)+(Table1[[#This Row],[Fill Rate]]*0.2)+(Table1[[#This Row],[Cost Score]]*0.1)</f>
        <v>0.89210708625591117</v>
      </c>
      <c r="T110">
        <f>MAX(Table1[OTD])</f>
        <v>1</v>
      </c>
      <c r="U110" t="str">
        <f>IF(Table1[[#This Row],[Vendor Score]]&gt;=90%,"Excellent",IF(Table1[[#This Row],[Vendor Score]]&gt;=75%,"Moderate","Poor"))</f>
        <v>Moderate</v>
      </c>
    </row>
    <row r="111" spans="1:21" x14ac:dyDescent="0.35">
      <c r="A111" t="s">
        <v>451</v>
      </c>
      <c r="B111" t="s">
        <v>42</v>
      </c>
      <c r="C111" t="s">
        <v>43</v>
      </c>
      <c r="D111" t="s">
        <v>55</v>
      </c>
      <c r="E111" t="s">
        <v>34</v>
      </c>
      <c r="F111">
        <v>1585</v>
      </c>
      <c r="G111">
        <v>1537</v>
      </c>
      <c r="H111" s="1">
        <v>46196</v>
      </c>
      <c r="I111" s="1">
        <v>46194</v>
      </c>
      <c r="J111">
        <v>20</v>
      </c>
      <c r="K111">
        <v>248</v>
      </c>
      <c r="L111">
        <f t="shared" si="5"/>
        <v>-2</v>
      </c>
      <c r="M111" s="6">
        <f t="shared" si="6"/>
        <v>1</v>
      </c>
      <c r="N111" s="6">
        <f t="shared" si="7"/>
        <v>0.96971608832807576</v>
      </c>
      <c r="O111" s="6">
        <f t="shared" si="8"/>
        <v>0.9869876382563435</v>
      </c>
      <c r="P111">
        <f t="shared" si="9"/>
        <v>381176</v>
      </c>
      <c r="Q111" s="6">
        <f>MIN(Table1[Unit Price])/Table1[[#This Row],[Unit Price]]</f>
        <v>2.0161290322580645E-2</v>
      </c>
      <c r="R111" s="8">
        <f>IF(Table1[[#This Row],[Delivery Delay]]&gt;0,1,0)</f>
        <v>0</v>
      </c>
      <c r="S111" s="6">
        <f>(Table1[[#This Row],[OTD]]*0.4)+(Table1[[#This Row],[Quality Rate]]*0.3)+(Table1[[#This Row],[Fill Rate]]*0.2)+(Table1[[#This Row],[Cost Score]]*0.1)</f>
        <v>0.8920556381747764</v>
      </c>
      <c r="T111">
        <f>MAX(Table1[OTD])</f>
        <v>1</v>
      </c>
      <c r="U111" t="str">
        <f>IF(Table1[[#This Row],[Vendor Score]]&gt;=90%,"Excellent",IF(Table1[[#This Row],[Vendor Score]]&gt;=75%,"Moderate","Poor"))</f>
        <v>Moderate</v>
      </c>
    </row>
    <row r="112" spans="1:21" x14ac:dyDescent="0.35">
      <c r="A112" t="s">
        <v>494</v>
      </c>
      <c r="B112" t="s">
        <v>42</v>
      </c>
      <c r="C112" t="s">
        <v>43</v>
      </c>
      <c r="D112" t="s">
        <v>14</v>
      </c>
      <c r="E112" t="s">
        <v>57</v>
      </c>
      <c r="F112">
        <v>324</v>
      </c>
      <c r="G112">
        <v>313</v>
      </c>
      <c r="H112" s="1">
        <v>46313</v>
      </c>
      <c r="I112" s="1">
        <v>46312</v>
      </c>
      <c r="J112">
        <v>4</v>
      </c>
      <c r="K112">
        <v>189</v>
      </c>
      <c r="L112">
        <f t="shared" si="5"/>
        <v>-1</v>
      </c>
      <c r="M112" s="6">
        <f t="shared" si="6"/>
        <v>1</v>
      </c>
      <c r="N112" s="6">
        <f t="shared" si="7"/>
        <v>0.96604938271604934</v>
      </c>
      <c r="O112" s="6">
        <f t="shared" si="8"/>
        <v>0.98722044728434499</v>
      </c>
      <c r="P112">
        <f t="shared" si="9"/>
        <v>59157</v>
      </c>
      <c r="Q112" s="6">
        <f>MIN(Table1[Unit Price])/Table1[[#This Row],[Unit Price]]</f>
        <v>2.6455026455026454E-2</v>
      </c>
      <c r="R112" s="8">
        <f>IF(Table1[[#This Row],[Delivery Delay]]&gt;0,1,0)</f>
        <v>0</v>
      </c>
      <c r="S112" s="6">
        <f>(Table1[[#This Row],[OTD]]*0.4)+(Table1[[#This Row],[Quality Rate]]*0.3)+(Table1[[#This Row],[Fill Rate]]*0.2)+(Table1[[#This Row],[Cost Score]]*0.1)</f>
        <v>0.89202151337401603</v>
      </c>
      <c r="T112">
        <f>MAX(Table1[OTD])</f>
        <v>1</v>
      </c>
      <c r="U112" t="str">
        <f>IF(Table1[[#This Row],[Vendor Score]]&gt;=90%,"Excellent",IF(Table1[[#This Row],[Vendor Score]]&gt;=75%,"Moderate","Poor"))</f>
        <v>Moderate</v>
      </c>
    </row>
    <row r="113" spans="1:21" x14ac:dyDescent="0.35">
      <c r="A113" t="s">
        <v>103</v>
      </c>
      <c r="B113" t="s">
        <v>30</v>
      </c>
      <c r="C113" t="s">
        <v>31</v>
      </c>
      <c r="D113" t="s">
        <v>14</v>
      </c>
      <c r="E113" t="s">
        <v>57</v>
      </c>
      <c r="F113">
        <v>2551</v>
      </c>
      <c r="G113">
        <v>2532</v>
      </c>
      <c r="H113" s="1">
        <v>46308</v>
      </c>
      <c r="I113" s="1">
        <v>46306</v>
      </c>
      <c r="J113">
        <v>76</v>
      </c>
      <c r="K113">
        <v>209</v>
      </c>
      <c r="L113">
        <f t="shared" si="5"/>
        <v>-2</v>
      </c>
      <c r="M113" s="6">
        <f t="shared" si="6"/>
        <v>1</v>
      </c>
      <c r="N113" s="6">
        <f t="shared" si="7"/>
        <v>0.9925519404155233</v>
      </c>
      <c r="O113" s="6">
        <f t="shared" si="8"/>
        <v>0.96998420221169035</v>
      </c>
      <c r="P113">
        <f t="shared" si="9"/>
        <v>529188</v>
      </c>
      <c r="Q113" s="6">
        <f>MIN(Table1[Unit Price])/Table1[[#This Row],[Unit Price]]</f>
        <v>2.3923444976076555E-2</v>
      </c>
      <c r="R113" s="8">
        <f>IF(Table1[[#This Row],[Delivery Delay]]&gt;0,1,0)</f>
        <v>0</v>
      </c>
      <c r="S113" s="6">
        <f>(Table1[[#This Row],[OTD]]*0.4)+(Table1[[#This Row],[Quality Rate]]*0.3)+(Table1[[#This Row],[Fill Rate]]*0.2)+(Table1[[#This Row],[Cost Score]]*0.1)</f>
        <v>0.89189799324421937</v>
      </c>
      <c r="T113">
        <f>MAX(Table1[OTD])</f>
        <v>1</v>
      </c>
      <c r="U113" t="str">
        <f>IF(Table1[[#This Row],[Vendor Score]]&gt;=90%,"Excellent",IF(Table1[[#This Row],[Vendor Score]]&gt;=75%,"Moderate","Poor"))</f>
        <v>Moderate</v>
      </c>
    </row>
    <row r="114" spans="1:21" x14ac:dyDescent="0.35">
      <c r="A114" t="s">
        <v>282</v>
      </c>
      <c r="B114" t="s">
        <v>26</v>
      </c>
      <c r="C114" t="s">
        <v>27</v>
      </c>
      <c r="D114" t="s">
        <v>19</v>
      </c>
      <c r="E114" t="s">
        <v>47</v>
      </c>
      <c r="F114">
        <v>2178</v>
      </c>
      <c r="G114">
        <v>2030</v>
      </c>
      <c r="H114" s="1">
        <v>46327</v>
      </c>
      <c r="I114" s="1">
        <v>46327</v>
      </c>
      <c r="J114">
        <v>21</v>
      </c>
      <c r="K114">
        <v>59</v>
      </c>
      <c r="L114">
        <f t="shared" si="5"/>
        <v>0</v>
      </c>
      <c r="M114" s="6">
        <f t="shared" si="6"/>
        <v>1</v>
      </c>
      <c r="N114" s="6">
        <f t="shared" si="7"/>
        <v>0.93204775022956843</v>
      </c>
      <c r="O114" s="6">
        <f t="shared" si="8"/>
        <v>0.98965517241379308</v>
      </c>
      <c r="P114">
        <f t="shared" si="9"/>
        <v>119770</v>
      </c>
      <c r="Q114" s="6">
        <f>MIN(Table1[Unit Price])/Table1[[#This Row],[Unit Price]]</f>
        <v>8.4745762711864403E-2</v>
      </c>
      <c r="R114" s="8">
        <f>IF(Table1[[#This Row],[Delivery Delay]]&gt;0,1,0)</f>
        <v>0</v>
      </c>
      <c r="S114" s="6">
        <f>(Table1[[#This Row],[OTD]]*0.4)+(Table1[[#This Row],[Quality Rate]]*0.3)+(Table1[[#This Row],[Fill Rate]]*0.2)+(Table1[[#This Row],[Cost Score]]*0.1)</f>
        <v>0.89178067804123806</v>
      </c>
      <c r="T114">
        <f>MAX(Table1[OTD])</f>
        <v>1</v>
      </c>
      <c r="U114" t="str">
        <f>IF(Table1[[#This Row],[Vendor Score]]&gt;=90%,"Excellent",IF(Table1[[#This Row],[Vendor Score]]&gt;=75%,"Moderate","Poor"))</f>
        <v>Moderate</v>
      </c>
    </row>
    <row r="115" spans="1:21" x14ac:dyDescent="0.35">
      <c r="A115" t="s">
        <v>101</v>
      </c>
      <c r="B115" t="s">
        <v>42</v>
      </c>
      <c r="C115" t="s">
        <v>43</v>
      </c>
      <c r="D115" t="s">
        <v>19</v>
      </c>
      <c r="E115" t="s">
        <v>47</v>
      </c>
      <c r="F115">
        <v>2801</v>
      </c>
      <c r="G115">
        <v>2624</v>
      </c>
      <c r="H115" s="1">
        <v>46327</v>
      </c>
      <c r="I115" s="1">
        <v>46325</v>
      </c>
      <c r="J115">
        <v>32</v>
      </c>
      <c r="K115">
        <v>62</v>
      </c>
      <c r="L115">
        <f t="shared" si="5"/>
        <v>-2</v>
      </c>
      <c r="M115" s="6">
        <f t="shared" si="6"/>
        <v>1</v>
      </c>
      <c r="N115" s="6">
        <f t="shared" si="7"/>
        <v>0.93680828275615846</v>
      </c>
      <c r="O115" s="6">
        <f t="shared" si="8"/>
        <v>0.98780487804878048</v>
      </c>
      <c r="P115">
        <f t="shared" si="9"/>
        <v>162688</v>
      </c>
      <c r="Q115" s="6">
        <f>MIN(Table1[Unit Price])/Table1[[#This Row],[Unit Price]]</f>
        <v>8.0645161290322578E-2</v>
      </c>
      <c r="R115" s="8">
        <f>IF(Table1[[#This Row],[Delivery Delay]]&gt;0,1,0)</f>
        <v>0</v>
      </c>
      <c r="S115" s="6">
        <f>(Table1[[#This Row],[OTD]]*0.4)+(Table1[[#This Row],[Quality Rate]]*0.3)+(Table1[[#This Row],[Fill Rate]]*0.2)+(Table1[[#This Row],[Cost Score]]*0.1)</f>
        <v>0.89176763609489806</v>
      </c>
      <c r="T115">
        <f>MAX(Table1[OTD])</f>
        <v>1</v>
      </c>
      <c r="U115" t="str">
        <f>IF(Table1[[#This Row],[Vendor Score]]&gt;=90%,"Excellent",IF(Table1[[#This Row],[Vendor Score]]&gt;=75%,"Moderate","Poor"))</f>
        <v>Moderate</v>
      </c>
    </row>
    <row r="116" spans="1:21" x14ac:dyDescent="0.35">
      <c r="A116" t="s">
        <v>208</v>
      </c>
      <c r="B116" t="s">
        <v>78</v>
      </c>
      <c r="C116" t="s">
        <v>79</v>
      </c>
      <c r="D116" t="s">
        <v>33</v>
      </c>
      <c r="E116" t="s">
        <v>40</v>
      </c>
      <c r="F116">
        <v>1464</v>
      </c>
      <c r="G116">
        <v>1461</v>
      </c>
      <c r="H116" s="1">
        <v>46256</v>
      </c>
      <c r="I116" s="1">
        <v>46254</v>
      </c>
      <c r="J116">
        <v>74</v>
      </c>
      <c r="K116">
        <v>69</v>
      </c>
      <c r="L116">
        <f t="shared" si="5"/>
        <v>-2</v>
      </c>
      <c r="M116" s="6">
        <f t="shared" si="6"/>
        <v>1</v>
      </c>
      <c r="N116" s="6">
        <f t="shared" si="7"/>
        <v>0.99795081967213117</v>
      </c>
      <c r="O116" s="6">
        <f t="shared" si="8"/>
        <v>0.94934976043805608</v>
      </c>
      <c r="P116">
        <f t="shared" si="9"/>
        <v>100809</v>
      </c>
      <c r="Q116" s="6">
        <f>MIN(Table1[Unit Price])/Table1[[#This Row],[Unit Price]]</f>
        <v>7.2463768115942032E-2</v>
      </c>
      <c r="R116" s="8">
        <f>IF(Table1[[#This Row],[Delivery Delay]]&gt;0,1,0)</f>
        <v>0</v>
      </c>
      <c r="S116" s="6">
        <f>(Table1[[#This Row],[OTD]]*0.4)+(Table1[[#This Row],[Quality Rate]]*0.3)+(Table1[[#This Row],[Fill Rate]]*0.2)+(Table1[[#This Row],[Cost Score]]*0.1)</f>
        <v>0.89164146887743723</v>
      </c>
      <c r="T116">
        <f>MAX(Table1[OTD])</f>
        <v>1</v>
      </c>
      <c r="U116" t="str">
        <f>IF(Table1[[#This Row],[Vendor Score]]&gt;=90%,"Excellent",IF(Table1[[#This Row],[Vendor Score]]&gt;=75%,"Moderate","Poor"))</f>
        <v>Moderate</v>
      </c>
    </row>
    <row r="117" spans="1:21" x14ac:dyDescent="0.35">
      <c r="A117" t="s">
        <v>286</v>
      </c>
      <c r="B117" t="s">
        <v>26</v>
      </c>
      <c r="C117" t="s">
        <v>27</v>
      </c>
      <c r="D117" t="s">
        <v>33</v>
      </c>
      <c r="E117" t="s">
        <v>40</v>
      </c>
      <c r="F117">
        <v>3502</v>
      </c>
      <c r="G117">
        <v>3370</v>
      </c>
      <c r="H117" s="1">
        <v>46260</v>
      </c>
      <c r="I117" s="1">
        <v>46259</v>
      </c>
      <c r="J117">
        <v>37</v>
      </c>
      <c r="K117">
        <v>216</v>
      </c>
      <c r="L117">
        <f t="shared" si="5"/>
        <v>-1</v>
      </c>
      <c r="M117" s="6">
        <f t="shared" si="6"/>
        <v>1</v>
      </c>
      <c r="N117" s="6">
        <f t="shared" si="7"/>
        <v>0.96230725299828668</v>
      </c>
      <c r="O117" s="6">
        <f t="shared" si="8"/>
        <v>0.9890207715133531</v>
      </c>
      <c r="P117">
        <f t="shared" si="9"/>
        <v>727920</v>
      </c>
      <c r="Q117" s="6">
        <f>MIN(Table1[Unit Price])/Table1[[#This Row],[Unit Price]]</f>
        <v>2.3148148148148147E-2</v>
      </c>
      <c r="R117" s="8">
        <f>IF(Table1[[#This Row],[Delivery Delay]]&gt;0,1,0)</f>
        <v>0</v>
      </c>
      <c r="S117" s="6">
        <f>(Table1[[#This Row],[OTD]]*0.4)+(Table1[[#This Row],[Quality Rate]]*0.3)+(Table1[[#This Row],[Fill Rate]]*0.2)+(Table1[[#This Row],[Cost Score]]*0.1)</f>
        <v>0.89148249686847814</v>
      </c>
      <c r="T117">
        <f>MAX(Table1[OTD])</f>
        <v>1</v>
      </c>
      <c r="U117" t="str">
        <f>IF(Table1[[#This Row],[Vendor Score]]&gt;=90%,"Excellent",IF(Table1[[#This Row],[Vendor Score]]&gt;=75%,"Moderate","Poor"))</f>
        <v>Moderate</v>
      </c>
    </row>
    <row r="118" spans="1:21" x14ac:dyDescent="0.35">
      <c r="A118" t="s">
        <v>538</v>
      </c>
      <c r="B118" t="s">
        <v>30</v>
      </c>
      <c r="C118" t="s">
        <v>31</v>
      </c>
      <c r="D118" t="s">
        <v>14</v>
      </c>
      <c r="E118" t="s">
        <v>57</v>
      </c>
      <c r="F118">
        <v>4433</v>
      </c>
      <c r="G118">
        <v>4401</v>
      </c>
      <c r="H118" s="1">
        <v>46320</v>
      </c>
      <c r="I118" s="1">
        <v>46318</v>
      </c>
      <c r="J118">
        <v>136</v>
      </c>
      <c r="K118">
        <v>229</v>
      </c>
      <c r="L118">
        <f t="shared" si="5"/>
        <v>-2</v>
      </c>
      <c r="M118" s="6">
        <f t="shared" si="6"/>
        <v>1</v>
      </c>
      <c r="N118" s="6">
        <f t="shared" si="7"/>
        <v>0.99278141213625082</v>
      </c>
      <c r="O118" s="6">
        <f t="shared" si="8"/>
        <v>0.96909793228811636</v>
      </c>
      <c r="P118">
        <f t="shared" si="9"/>
        <v>1007829</v>
      </c>
      <c r="Q118" s="6">
        <f>MIN(Table1[Unit Price])/Table1[[#This Row],[Unit Price]]</f>
        <v>2.1834061135371178E-2</v>
      </c>
      <c r="R118" s="8">
        <f>IF(Table1[[#This Row],[Delivery Delay]]&gt;0,1,0)</f>
        <v>0</v>
      </c>
      <c r="S118" s="6">
        <f>(Table1[[#This Row],[OTD]]*0.4)+(Table1[[#This Row],[Quality Rate]]*0.3)+(Table1[[#This Row],[Fill Rate]]*0.2)+(Table1[[#This Row],[Cost Score]]*0.1)</f>
        <v>0.89146906822722216</v>
      </c>
      <c r="T118">
        <f>MAX(Table1[OTD])</f>
        <v>1</v>
      </c>
      <c r="U118" t="str">
        <f>IF(Table1[[#This Row],[Vendor Score]]&gt;=90%,"Excellent",IF(Table1[[#This Row],[Vendor Score]]&gt;=75%,"Moderate","Poor"))</f>
        <v>Moderate</v>
      </c>
    </row>
    <row r="119" spans="1:21" x14ac:dyDescent="0.35">
      <c r="A119" t="s">
        <v>461</v>
      </c>
      <c r="B119" t="s">
        <v>26</v>
      </c>
      <c r="C119" t="s">
        <v>27</v>
      </c>
      <c r="D119" t="s">
        <v>33</v>
      </c>
      <c r="E119" t="s">
        <v>57</v>
      </c>
      <c r="F119">
        <v>1770</v>
      </c>
      <c r="G119">
        <v>1638</v>
      </c>
      <c r="H119" s="1">
        <v>46303</v>
      </c>
      <c r="I119" s="1">
        <v>46301</v>
      </c>
      <c r="J119">
        <v>18</v>
      </c>
      <c r="K119">
        <v>52</v>
      </c>
      <c r="L119">
        <f t="shared" si="5"/>
        <v>-2</v>
      </c>
      <c r="M119" s="6">
        <f t="shared" si="6"/>
        <v>1</v>
      </c>
      <c r="N119" s="6">
        <f t="shared" si="7"/>
        <v>0.92542372881355928</v>
      </c>
      <c r="O119" s="6">
        <f t="shared" si="8"/>
        <v>0.98901098901098905</v>
      </c>
      <c r="P119">
        <f t="shared" si="9"/>
        <v>85176</v>
      </c>
      <c r="Q119" s="6">
        <f>MIN(Table1[Unit Price])/Table1[[#This Row],[Unit Price]]</f>
        <v>9.6153846153846159E-2</v>
      </c>
      <c r="R119" s="8">
        <f>IF(Table1[[#This Row],[Delivery Delay]]&gt;0,1,0)</f>
        <v>0</v>
      </c>
      <c r="S119" s="6">
        <f>(Table1[[#This Row],[OTD]]*0.4)+(Table1[[#This Row],[Quality Rate]]*0.3)+(Table1[[#This Row],[Fill Rate]]*0.2)+(Table1[[#This Row],[Cost Score]]*0.1)</f>
        <v>0.89140342708139308</v>
      </c>
      <c r="T119">
        <f>MAX(Table1[OTD])</f>
        <v>1</v>
      </c>
      <c r="U119" t="str">
        <f>IF(Table1[[#This Row],[Vendor Score]]&gt;=90%,"Excellent",IF(Table1[[#This Row],[Vendor Score]]&gt;=75%,"Moderate","Poor"))</f>
        <v>Moderate</v>
      </c>
    </row>
    <row r="120" spans="1:21" x14ac:dyDescent="0.35">
      <c r="A120" t="s">
        <v>80</v>
      </c>
      <c r="B120" t="s">
        <v>30</v>
      </c>
      <c r="C120" t="s">
        <v>31</v>
      </c>
      <c r="D120" t="s">
        <v>14</v>
      </c>
      <c r="E120" t="s">
        <v>24</v>
      </c>
      <c r="F120">
        <v>4801</v>
      </c>
      <c r="G120">
        <v>4761</v>
      </c>
      <c r="H120" s="1">
        <v>46172</v>
      </c>
      <c r="I120" s="1">
        <v>46170</v>
      </c>
      <c r="J120">
        <v>146</v>
      </c>
      <c r="K120">
        <v>244</v>
      </c>
      <c r="L120">
        <f t="shared" si="5"/>
        <v>-2</v>
      </c>
      <c r="M120" s="6">
        <f t="shared" si="6"/>
        <v>1</v>
      </c>
      <c r="N120" s="6">
        <f t="shared" si="7"/>
        <v>0.99166840241616327</v>
      </c>
      <c r="O120" s="6">
        <f t="shared" si="8"/>
        <v>0.96933417349296369</v>
      </c>
      <c r="P120">
        <f t="shared" si="9"/>
        <v>1161684</v>
      </c>
      <c r="Q120" s="6">
        <f>MIN(Table1[Unit Price])/Table1[[#This Row],[Unit Price]]</f>
        <v>2.0491803278688523E-2</v>
      </c>
      <c r="R120" s="8">
        <f>IF(Table1[[#This Row],[Delivery Delay]]&gt;0,1,0)</f>
        <v>0</v>
      </c>
      <c r="S120" s="6">
        <f>(Table1[[#This Row],[OTD]]*0.4)+(Table1[[#This Row],[Quality Rate]]*0.3)+(Table1[[#This Row],[Fill Rate]]*0.2)+(Table1[[#This Row],[Cost Score]]*0.1)</f>
        <v>0.89118311285899054</v>
      </c>
      <c r="T120">
        <f>MAX(Table1[OTD])</f>
        <v>1</v>
      </c>
      <c r="U120" t="str">
        <f>IF(Table1[[#This Row],[Vendor Score]]&gt;=90%,"Excellent",IF(Table1[[#This Row],[Vendor Score]]&gt;=75%,"Moderate","Poor"))</f>
        <v>Moderate</v>
      </c>
    </row>
    <row r="121" spans="1:21" x14ac:dyDescent="0.35">
      <c r="A121" t="s">
        <v>173</v>
      </c>
      <c r="B121" t="s">
        <v>42</v>
      </c>
      <c r="C121" t="s">
        <v>43</v>
      </c>
      <c r="D121" t="s">
        <v>19</v>
      </c>
      <c r="E121" t="s">
        <v>15</v>
      </c>
      <c r="F121">
        <v>4067</v>
      </c>
      <c r="G121">
        <v>3901</v>
      </c>
      <c r="H121" s="1">
        <v>46368</v>
      </c>
      <c r="I121" s="1">
        <v>46368</v>
      </c>
      <c r="J121">
        <v>40</v>
      </c>
      <c r="K121">
        <v>212</v>
      </c>
      <c r="L121">
        <f t="shared" si="5"/>
        <v>0</v>
      </c>
      <c r="M121" s="6">
        <f t="shared" si="6"/>
        <v>1</v>
      </c>
      <c r="N121" s="6">
        <f t="shared" si="7"/>
        <v>0.95918367346938771</v>
      </c>
      <c r="O121" s="6">
        <f t="shared" si="8"/>
        <v>0.98974621891822612</v>
      </c>
      <c r="P121">
        <f t="shared" si="9"/>
        <v>827012</v>
      </c>
      <c r="Q121" s="6">
        <f>MIN(Table1[Unit Price])/Table1[[#This Row],[Unit Price]]</f>
        <v>2.358490566037736E-2</v>
      </c>
      <c r="R121" s="8">
        <f>IF(Table1[[#This Row],[Delivery Delay]]&gt;0,1,0)</f>
        <v>0</v>
      </c>
      <c r="S121" s="6">
        <f>(Table1[[#This Row],[OTD]]*0.4)+(Table1[[#This Row],[Quality Rate]]*0.3)+(Table1[[#This Row],[Fill Rate]]*0.2)+(Table1[[#This Row],[Cost Score]]*0.1)</f>
        <v>0.89111909093538311</v>
      </c>
      <c r="T121">
        <f>MAX(Table1[OTD])</f>
        <v>1</v>
      </c>
      <c r="U121" t="str">
        <f>IF(Table1[[#This Row],[Vendor Score]]&gt;=90%,"Excellent",IF(Table1[[#This Row],[Vendor Score]]&gt;=75%,"Moderate","Poor"))</f>
        <v>Moderate</v>
      </c>
    </row>
    <row r="122" spans="1:21" x14ac:dyDescent="0.35">
      <c r="A122" t="s">
        <v>259</v>
      </c>
      <c r="B122" t="s">
        <v>38</v>
      </c>
      <c r="C122" t="s">
        <v>39</v>
      </c>
      <c r="D122" t="s">
        <v>19</v>
      </c>
      <c r="E122" t="s">
        <v>63</v>
      </c>
      <c r="F122">
        <v>808</v>
      </c>
      <c r="G122">
        <v>751</v>
      </c>
      <c r="H122" s="1">
        <v>46056</v>
      </c>
      <c r="I122" s="1">
        <v>46055</v>
      </c>
      <c r="J122">
        <v>20</v>
      </c>
      <c r="K122">
        <v>38</v>
      </c>
      <c r="L122">
        <f t="shared" si="5"/>
        <v>-1</v>
      </c>
      <c r="M122" s="6">
        <f t="shared" si="6"/>
        <v>1</v>
      </c>
      <c r="N122" s="6">
        <f t="shared" si="7"/>
        <v>0.9294554455445545</v>
      </c>
      <c r="O122" s="6">
        <f t="shared" si="8"/>
        <v>0.97336884154460723</v>
      </c>
      <c r="P122">
        <f t="shared" si="9"/>
        <v>28538</v>
      </c>
      <c r="Q122" s="6">
        <f>MIN(Table1[Unit Price])/Table1[[#This Row],[Unit Price]]</f>
        <v>0.13157894736842105</v>
      </c>
      <c r="R122" s="8">
        <f>IF(Table1[[#This Row],[Delivery Delay]]&gt;0,1,0)</f>
        <v>0</v>
      </c>
      <c r="S122" s="6">
        <f>(Table1[[#This Row],[OTD]]*0.4)+(Table1[[#This Row],[Quality Rate]]*0.3)+(Table1[[#This Row],[Fill Rate]]*0.2)+(Table1[[#This Row],[Cost Score]]*0.1)</f>
        <v>0.89105963630913532</v>
      </c>
      <c r="T122">
        <f>MAX(Table1[OTD])</f>
        <v>1</v>
      </c>
      <c r="U122" t="str">
        <f>IF(Table1[[#This Row],[Vendor Score]]&gt;=90%,"Excellent",IF(Table1[[#This Row],[Vendor Score]]&gt;=75%,"Moderate","Poor"))</f>
        <v>Moderate</v>
      </c>
    </row>
    <row r="123" spans="1:21" x14ac:dyDescent="0.35">
      <c r="A123" t="s">
        <v>420</v>
      </c>
      <c r="B123" t="s">
        <v>17</v>
      </c>
      <c r="C123" t="s">
        <v>18</v>
      </c>
      <c r="D123" t="s">
        <v>55</v>
      </c>
      <c r="E123" t="s">
        <v>40</v>
      </c>
      <c r="F123">
        <v>4036</v>
      </c>
      <c r="G123">
        <v>4012</v>
      </c>
      <c r="H123" s="1">
        <v>46240</v>
      </c>
      <c r="I123" s="1">
        <v>46240</v>
      </c>
      <c r="J123">
        <v>163</v>
      </c>
      <c r="K123">
        <v>116</v>
      </c>
      <c r="L123">
        <f t="shared" si="5"/>
        <v>0</v>
      </c>
      <c r="M123" s="6">
        <f t="shared" si="6"/>
        <v>1</v>
      </c>
      <c r="N123" s="6">
        <f t="shared" si="7"/>
        <v>0.99405351833498512</v>
      </c>
      <c r="O123" s="6">
        <f t="shared" si="8"/>
        <v>0.95937188434695908</v>
      </c>
      <c r="P123">
        <f t="shared" si="9"/>
        <v>465392</v>
      </c>
      <c r="Q123" s="6">
        <f>MIN(Table1[Unit Price])/Table1[[#This Row],[Unit Price]]</f>
        <v>4.3103448275862072E-2</v>
      </c>
      <c r="R123" s="8">
        <f>IF(Table1[[#This Row],[Delivery Delay]]&gt;0,1,0)</f>
        <v>0</v>
      </c>
      <c r="S123" s="6">
        <f>(Table1[[#This Row],[OTD]]*0.4)+(Table1[[#This Row],[Quality Rate]]*0.3)+(Table1[[#This Row],[Fill Rate]]*0.2)+(Table1[[#This Row],[Cost Score]]*0.1)</f>
        <v>0.89093261379867095</v>
      </c>
      <c r="T123">
        <f>MAX(Table1[OTD])</f>
        <v>1</v>
      </c>
      <c r="U123" t="str">
        <f>IF(Table1[[#This Row],[Vendor Score]]&gt;=90%,"Excellent",IF(Table1[[#This Row],[Vendor Score]]&gt;=75%,"Moderate","Poor"))</f>
        <v>Moderate</v>
      </c>
    </row>
    <row r="124" spans="1:21" x14ac:dyDescent="0.35">
      <c r="A124" t="s">
        <v>54</v>
      </c>
      <c r="B124" t="s">
        <v>38</v>
      </c>
      <c r="C124" t="s">
        <v>39</v>
      </c>
      <c r="D124" t="s">
        <v>55</v>
      </c>
      <c r="E124" t="s">
        <v>24</v>
      </c>
      <c r="F124">
        <v>1016</v>
      </c>
      <c r="G124">
        <v>978</v>
      </c>
      <c r="H124" s="1">
        <v>46154</v>
      </c>
      <c r="I124" s="1">
        <v>46153</v>
      </c>
      <c r="J124">
        <v>20</v>
      </c>
      <c r="K124">
        <v>111</v>
      </c>
      <c r="L124">
        <f t="shared" si="5"/>
        <v>-1</v>
      </c>
      <c r="M124" s="6">
        <f t="shared" si="6"/>
        <v>1</v>
      </c>
      <c r="N124" s="6">
        <f t="shared" si="7"/>
        <v>0.96259842519685035</v>
      </c>
      <c r="O124" s="6">
        <f t="shared" si="8"/>
        <v>0.9795501022494888</v>
      </c>
      <c r="P124">
        <f t="shared" si="9"/>
        <v>108558</v>
      </c>
      <c r="Q124" s="6">
        <f>MIN(Table1[Unit Price])/Table1[[#This Row],[Unit Price]]</f>
        <v>4.5045045045045043E-2</v>
      </c>
      <c r="R124" s="8">
        <f>IF(Table1[[#This Row],[Delivery Delay]]&gt;0,1,0)</f>
        <v>0</v>
      </c>
      <c r="S124" s="6">
        <f>(Table1[[#This Row],[OTD]]*0.4)+(Table1[[#This Row],[Quality Rate]]*0.3)+(Table1[[#This Row],[Fill Rate]]*0.2)+(Table1[[#This Row],[Cost Score]]*0.1)</f>
        <v>0.89088922021872119</v>
      </c>
      <c r="T124">
        <f>MAX(Table1[OTD])</f>
        <v>1</v>
      </c>
      <c r="U124" t="str">
        <f>IF(Table1[[#This Row],[Vendor Score]]&gt;=90%,"Excellent",IF(Table1[[#This Row],[Vendor Score]]&gt;=75%,"Moderate","Poor"))</f>
        <v>Moderate</v>
      </c>
    </row>
    <row r="125" spans="1:21" x14ac:dyDescent="0.35">
      <c r="A125" t="s">
        <v>322</v>
      </c>
      <c r="B125" t="s">
        <v>26</v>
      </c>
      <c r="C125" t="s">
        <v>27</v>
      </c>
      <c r="D125" t="s">
        <v>33</v>
      </c>
      <c r="E125" t="s">
        <v>40</v>
      </c>
      <c r="F125">
        <v>1005</v>
      </c>
      <c r="G125">
        <v>968</v>
      </c>
      <c r="H125" s="1">
        <v>46248</v>
      </c>
      <c r="I125" s="1">
        <v>46248</v>
      </c>
      <c r="J125">
        <v>14</v>
      </c>
      <c r="K125">
        <v>197</v>
      </c>
      <c r="L125">
        <f t="shared" si="5"/>
        <v>0</v>
      </c>
      <c r="M125" s="6">
        <f t="shared" si="6"/>
        <v>1</v>
      </c>
      <c r="N125" s="6">
        <f t="shared" si="7"/>
        <v>0.96318407960199004</v>
      </c>
      <c r="O125" s="6">
        <f t="shared" si="8"/>
        <v>0.98553719008264462</v>
      </c>
      <c r="P125">
        <f t="shared" si="9"/>
        <v>190696</v>
      </c>
      <c r="Q125" s="6">
        <f>MIN(Table1[Unit Price])/Table1[[#This Row],[Unit Price]]</f>
        <v>2.5380710659898477E-2</v>
      </c>
      <c r="R125" s="8">
        <f>IF(Table1[[#This Row],[Delivery Delay]]&gt;0,1,0)</f>
        <v>0</v>
      </c>
      <c r="S125" s="6">
        <f>(Table1[[#This Row],[OTD]]*0.4)+(Table1[[#This Row],[Quality Rate]]*0.3)+(Table1[[#This Row],[Fill Rate]]*0.2)+(Table1[[#This Row],[Cost Score]]*0.1)</f>
        <v>0.89083604401118133</v>
      </c>
      <c r="T125">
        <f>MAX(Table1[OTD])</f>
        <v>1</v>
      </c>
      <c r="U125" t="str">
        <f>IF(Table1[[#This Row],[Vendor Score]]&gt;=90%,"Excellent",IF(Table1[[#This Row],[Vendor Score]]&gt;=75%,"Moderate","Poor"))</f>
        <v>Moderate</v>
      </c>
    </row>
    <row r="126" spans="1:21" x14ac:dyDescent="0.35">
      <c r="A126" t="s">
        <v>64</v>
      </c>
      <c r="B126" t="s">
        <v>30</v>
      </c>
      <c r="C126" t="s">
        <v>31</v>
      </c>
      <c r="D126" t="s">
        <v>14</v>
      </c>
      <c r="E126" t="s">
        <v>15</v>
      </c>
      <c r="F126">
        <v>1098</v>
      </c>
      <c r="G126">
        <v>1062</v>
      </c>
      <c r="H126" s="1">
        <v>46376</v>
      </c>
      <c r="I126" s="1">
        <v>46376</v>
      </c>
      <c r="J126">
        <v>36</v>
      </c>
      <c r="K126">
        <v>67</v>
      </c>
      <c r="L126">
        <f t="shared" si="5"/>
        <v>0</v>
      </c>
      <c r="M126" s="6">
        <f t="shared" si="6"/>
        <v>1</v>
      </c>
      <c r="N126" s="6">
        <f t="shared" si="7"/>
        <v>0.96721311475409832</v>
      </c>
      <c r="O126" s="6">
        <f t="shared" si="8"/>
        <v>0.96610169491525422</v>
      </c>
      <c r="P126">
        <f t="shared" si="9"/>
        <v>71154</v>
      </c>
      <c r="Q126" s="6">
        <f>MIN(Table1[Unit Price])/Table1[[#This Row],[Unit Price]]</f>
        <v>7.4626865671641784E-2</v>
      </c>
      <c r="R126" s="8">
        <f>IF(Table1[[#This Row],[Delivery Delay]]&gt;0,1,0)</f>
        <v>0</v>
      </c>
      <c r="S126" s="6">
        <f>(Table1[[#This Row],[OTD]]*0.4)+(Table1[[#This Row],[Quality Rate]]*0.3)+(Table1[[#This Row],[Fill Rate]]*0.2)+(Table1[[#This Row],[Cost Score]]*0.1)</f>
        <v>0.89073581799256019</v>
      </c>
      <c r="T126">
        <f>MAX(Table1[OTD])</f>
        <v>1</v>
      </c>
      <c r="U126" t="str">
        <f>IF(Table1[[#This Row],[Vendor Score]]&gt;=90%,"Excellent",IF(Table1[[#This Row],[Vendor Score]]&gt;=75%,"Moderate","Poor"))</f>
        <v>Moderate</v>
      </c>
    </row>
    <row r="127" spans="1:21" x14ac:dyDescent="0.35">
      <c r="A127" t="s">
        <v>155</v>
      </c>
      <c r="B127" t="s">
        <v>42</v>
      </c>
      <c r="C127" t="s">
        <v>43</v>
      </c>
      <c r="D127" t="s">
        <v>55</v>
      </c>
      <c r="E127" t="s">
        <v>15</v>
      </c>
      <c r="F127">
        <v>4894</v>
      </c>
      <c r="G127">
        <v>4588</v>
      </c>
      <c r="H127" s="1">
        <v>46387</v>
      </c>
      <c r="I127" s="1">
        <v>46386</v>
      </c>
      <c r="J127">
        <v>48</v>
      </c>
      <c r="K127">
        <v>79</v>
      </c>
      <c r="L127">
        <f t="shared" si="5"/>
        <v>-1</v>
      </c>
      <c r="M127" s="6">
        <f t="shared" si="6"/>
        <v>1</v>
      </c>
      <c r="N127" s="6">
        <f t="shared" si="7"/>
        <v>0.93747445852063749</v>
      </c>
      <c r="O127" s="6">
        <f t="shared" si="8"/>
        <v>0.98953792502179594</v>
      </c>
      <c r="P127">
        <f t="shared" si="9"/>
        <v>362452</v>
      </c>
      <c r="Q127" s="6">
        <f>MIN(Table1[Unit Price])/Table1[[#This Row],[Unit Price]]</f>
        <v>6.3291139240506333E-2</v>
      </c>
      <c r="R127" s="8">
        <f>IF(Table1[[#This Row],[Delivery Delay]]&gt;0,1,0)</f>
        <v>0</v>
      </c>
      <c r="S127" s="6">
        <f>(Table1[[#This Row],[OTD]]*0.4)+(Table1[[#This Row],[Quality Rate]]*0.3)+(Table1[[#This Row],[Fill Rate]]*0.2)+(Table1[[#This Row],[Cost Score]]*0.1)</f>
        <v>0.89068538313471701</v>
      </c>
      <c r="T127">
        <f>MAX(Table1[OTD])</f>
        <v>1</v>
      </c>
      <c r="U127" t="str">
        <f>IF(Table1[[#This Row],[Vendor Score]]&gt;=90%,"Excellent",IF(Table1[[#This Row],[Vendor Score]]&gt;=75%,"Moderate","Poor"))</f>
        <v>Moderate</v>
      </c>
    </row>
    <row r="128" spans="1:21" x14ac:dyDescent="0.35">
      <c r="A128" t="s">
        <v>358</v>
      </c>
      <c r="B128" t="s">
        <v>17</v>
      </c>
      <c r="C128" t="s">
        <v>18</v>
      </c>
      <c r="D128" t="s">
        <v>33</v>
      </c>
      <c r="E128" t="s">
        <v>15</v>
      </c>
      <c r="F128">
        <v>3540</v>
      </c>
      <c r="G128">
        <v>3462</v>
      </c>
      <c r="H128" s="1">
        <v>46360</v>
      </c>
      <c r="I128" s="1">
        <v>46358</v>
      </c>
      <c r="J128">
        <v>143</v>
      </c>
      <c r="K128">
        <v>67</v>
      </c>
      <c r="L128">
        <f t="shared" si="5"/>
        <v>-2</v>
      </c>
      <c r="M128" s="6">
        <f t="shared" si="6"/>
        <v>1</v>
      </c>
      <c r="N128" s="6">
        <f t="shared" si="7"/>
        <v>0.97796610169491527</v>
      </c>
      <c r="O128" s="6">
        <f t="shared" si="8"/>
        <v>0.95869439630271525</v>
      </c>
      <c r="P128">
        <f t="shared" si="9"/>
        <v>231954</v>
      </c>
      <c r="Q128" s="6">
        <f>MIN(Table1[Unit Price])/Table1[[#This Row],[Unit Price]]</f>
        <v>7.4626865671641784E-2</v>
      </c>
      <c r="R128" s="8">
        <f>IF(Table1[[#This Row],[Delivery Delay]]&gt;0,1,0)</f>
        <v>0</v>
      </c>
      <c r="S128" s="6">
        <f>(Table1[[#This Row],[OTD]]*0.4)+(Table1[[#This Row],[Quality Rate]]*0.3)+(Table1[[#This Row],[Fill Rate]]*0.2)+(Table1[[#This Row],[Cost Score]]*0.1)</f>
        <v>0.89066422579696192</v>
      </c>
      <c r="T128">
        <f>MAX(Table1[OTD])</f>
        <v>1</v>
      </c>
      <c r="U128" t="str">
        <f>IF(Table1[[#This Row],[Vendor Score]]&gt;=90%,"Excellent",IF(Table1[[#This Row],[Vendor Score]]&gt;=75%,"Moderate","Poor"))</f>
        <v>Moderate</v>
      </c>
    </row>
    <row r="129" spans="1:21" x14ac:dyDescent="0.35">
      <c r="A129" t="s">
        <v>108</v>
      </c>
      <c r="B129" t="s">
        <v>38</v>
      </c>
      <c r="C129" t="s">
        <v>39</v>
      </c>
      <c r="D129" t="s">
        <v>33</v>
      </c>
      <c r="E129" t="s">
        <v>52</v>
      </c>
      <c r="F129">
        <v>2890</v>
      </c>
      <c r="G129">
        <v>2800</v>
      </c>
      <c r="H129" s="1">
        <v>46102</v>
      </c>
      <c r="I129" s="1">
        <v>46101</v>
      </c>
      <c r="J129">
        <v>58</v>
      </c>
      <c r="K129">
        <v>163</v>
      </c>
      <c r="L129">
        <f t="shared" si="5"/>
        <v>-1</v>
      </c>
      <c r="M129" s="6">
        <f t="shared" si="6"/>
        <v>1</v>
      </c>
      <c r="N129" s="6">
        <f t="shared" si="7"/>
        <v>0.96885813148788924</v>
      </c>
      <c r="O129" s="6">
        <f t="shared" si="8"/>
        <v>0.97928571428571431</v>
      </c>
      <c r="P129">
        <f t="shared" si="9"/>
        <v>456400</v>
      </c>
      <c r="Q129" s="6">
        <f>MIN(Table1[Unit Price])/Table1[[#This Row],[Unit Price]]</f>
        <v>3.0674846625766871E-2</v>
      </c>
      <c r="R129" s="8">
        <f>IF(Table1[[#This Row],[Delivery Delay]]&gt;0,1,0)</f>
        <v>0</v>
      </c>
      <c r="S129" s="6">
        <f>(Table1[[#This Row],[OTD]]*0.4)+(Table1[[#This Row],[Quality Rate]]*0.3)+(Table1[[#This Row],[Fill Rate]]*0.2)+(Table1[[#This Row],[Cost Score]]*0.1)</f>
        <v>0.89062482524586872</v>
      </c>
      <c r="T129">
        <f>MAX(Table1[OTD])</f>
        <v>1</v>
      </c>
      <c r="U129" t="str">
        <f>IF(Table1[[#This Row],[Vendor Score]]&gt;=90%,"Excellent",IF(Table1[[#This Row],[Vendor Score]]&gt;=75%,"Moderate","Poor"))</f>
        <v>Moderate</v>
      </c>
    </row>
    <row r="130" spans="1:21" x14ac:dyDescent="0.35">
      <c r="A130" t="s">
        <v>530</v>
      </c>
      <c r="B130" t="s">
        <v>30</v>
      </c>
      <c r="C130" t="s">
        <v>31</v>
      </c>
      <c r="D130" t="s">
        <v>14</v>
      </c>
      <c r="E130" t="s">
        <v>63</v>
      </c>
      <c r="F130">
        <v>4713</v>
      </c>
      <c r="G130">
        <v>4629</v>
      </c>
      <c r="H130" s="1">
        <v>46059</v>
      </c>
      <c r="I130" s="1">
        <v>46058</v>
      </c>
      <c r="J130">
        <v>142</v>
      </c>
      <c r="K130">
        <v>150</v>
      </c>
      <c r="L130">
        <f t="shared" ref="L130:L193" si="10">I130-H130</f>
        <v>-1</v>
      </c>
      <c r="M130" s="6">
        <f t="shared" ref="M130:M193" si="11">IF(L130&lt;=0,1,0)</f>
        <v>1</v>
      </c>
      <c r="N130" s="6">
        <f t="shared" ref="N130:N193" si="12">G130/F130</f>
        <v>0.98217695735200505</v>
      </c>
      <c r="O130" s="6">
        <f t="shared" ref="O130:O193" si="13">(G130-J130)/G130</f>
        <v>0.96932382804061357</v>
      </c>
      <c r="P130">
        <f t="shared" ref="P130:P193" si="14">G130*K130</f>
        <v>694350</v>
      </c>
      <c r="Q130" s="6">
        <f>MIN(Table1[Unit Price])/Table1[[#This Row],[Unit Price]]</f>
        <v>3.3333333333333333E-2</v>
      </c>
      <c r="R130" s="8">
        <f>IF(Table1[[#This Row],[Delivery Delay]]&gt;0,1,0)</f>
        <v>0</v>
      </c>
      <c r="S130" s="6">
        <f>(Table1[[#This Row],[OTD]]*0.4)+(Table1[[#This Row],[Quality Rate]]*0.3)+(Table1[[#This Row],[Fill Rate]]*0.2)+(Table1[[#This Row],[Cost Score]]*0.1)</f>
        <v>0.8905658732159184</v>
      </c>
      <c r="T130">
        <f>MAX(Table1[OTD])</f>
        <v>1</v>
      </c>
      <c r="U130" t="str">
        <f>IF(Table1[[#This Row],[Vendor Score]]&gt;=90%,"Excellent",IF(Table1[[#This Row],[Vendor Score]]&gt;=75%,"Moderate","Poor"))</f>
        <v>Moderate</v>
      </c>
    </row>
    <row r="131" spans="1:21" x14ac:dyDescent="0.35">
      <c r="A131" t="s">
        <v>427</v>
      </c>
      <c r="B131" t="s">
        <v>38</v>
      </c>
      <c r="C131" t="s">
        <v>39</v>
      </c>
      <c r="D131" t="s">
        <v>19</v>
      </c>
      <c r="E131" t="s">
        <v>70</v>
      </c>
      <c r="F131">
        <v>3012</v>
      </c>
      <c r="G131">
        <v>2936</v>
      </c>
      <c r="H131" s="1">
        <v>46031</v>
      </c>
      <c r="I131" s="1">
        <v>46031</v>
      </c>
      <c r="J131">
        <v>63</v>
      </c>
      <c r="K131">
        <v>244</v>
      </c>
      <c r="L131">
        <f t="shared" si="10"/>
        <v>0</v>
      </c>
      <c r="M131" s="6">
        <f t="shared" si="11"/>
        <v>1</v>
      </c>
      <c r="N131" s="6">
        <f t="shared" si="12"/>
        <v>0.97476759628154053</v>
      </c>
      <c r="O131" s="6">
        <f t="shared" si="13"/>
        <v>0.97854223433242504</v>
      </c>
      <c r="P131">
        <f t="shared" si="14"/>
        <v>716384</v>
      </c>
      <c r="Q131" s="6">
        <f>MIN(Table1[Unit Price])/Table1[[#This Row],[Unit Price]]</f>
        <v>2.0491803278688523E-2</v>
      </c>
      <c r="R131" s="8">
        <f>IF(Table1[[#This Row],[Delivery Delay]]&gt;0,1,0)</f>
        <v>0</v>
      </c>
      <c r="S131" s="6">
        <f>(Table1[[#This Row],[OTD]]*0.4)+(Table1[[#This Row],[Quality Rate]]*0.3)+(Table1[[#This Row],[Fill Rate]]*0.2)+(Table1[[#This Row],[Cost Score]]*0.1)</f>
        <v>0.89056536988390445</v>
      </c>
      <c r="T131">
        <f>MAX(Table1[OTD])</f>
        <v>1</v>
      </c>
      <c r="U131" t="str">
        <f>IF(Table1[[#This Row],[Vendor Score]]&gt;=90%,"Excellent",IF(Table1[[#This Row],[Vendor Score]]&gt;=75%,"Moderate","Poor"))</f>
        <v>Moderate</v>
      </c>
    </row>
    <row r="132" spans="1:21" x14ac:dyDescent="0.35">
      <c r="A132" t="s">
        <v>290</v>
      </c>
      <c r="B132" t="s">
        <v>17</v>
      </c>
      <c r="C132" t="s">
        <v>18</v>
      </c>
      <c r="D132" t="s">
        <v>33</v>
      </c>
      <c r="E132" t="s">
        <v>40</v>
      </c>
      <c r="F132">
        <v>3824</v>
      </c>
      <c r="G132">
        <v>3811</v>
      </c>
      <c r="H132" s="1">
        <v>46245</v>
      </c>
      <c r="I132" s="1">
        <v>46243</v>
      </c>
      <c r="J132">
        <v>158</v>
      </c>
      <c r="K132">
        <v>147</v>
      </c>
      <c r="L132">
        <f t="shared" si="10"/>
        <v>-2</v>
      </c>
      <c r="M132" s="6">
        <f t="shared" si="11"/>
        <v>1</v>
      </c>
      <c r="N132" s="6">
        <f t="shared" si="12"/>
        <v>0.99660041841004188</v>
      </c>
      <c r="O132" s="6">
        <f t="shared" si="13"/>
        <v>0.95854106533718186</v>
      </c>
      <c r="P132">
        <f t="shared" si="14"/>
        <v>560217</v>
      </c>
      <c r="Q132" s="6">
        <f>MIN(Table1[Unit Price])/Table1[[#This Row],[Unit Price]]</f>
        <v>3.4013605442176874E-2</v>
      </c>
      <c r="R132" s="8">
        <f>IF(Table1[[#This Row],[Delivery Delay]]&gt;0,1,0)</f>
        <v>0</v>
      </c>
      <c r="S132" s="6">
        <f>(Table1[[#This Row],[OTD]]*0.4)+(Table1[[#This Row],[Quality Rate]]*0.3)+(Table1[[#This Row],[Fill Rate]]*0.2)+(Table1[[#This Row],[Cost Score]]*0.1)</f>
        <v>0.89028376382738061</v>
      </c>
      <c r="T132">
        <f>MAX(Table1[OTD])</f>
        <v>1</v>
      </c>
      <c r="U132" t="str">
        <f>IF(Table1[[#This Row],[Vendor Score]]&gt;=90%,"Excellent",IF(Table1[[#This Row],[Vendor Score]]&gt;=75%,"Moderate","Poor"))</f>
        <v>Moderate</v>
      </c>
    </row>
    <row r="133" spans="1:21" x14ac:dyDescent="0.35">
      <c r="A133" t="s">
        <v>350</v>
      </c>
      <c r="B133" t="s">
        <v>38</v>
      </c>
      <c r="C133" t="s">
        <v>39</v>
      </c>
      <c r="D133" t="s">
        <v>14</v>
      </c>
      <c r="E133" t="s">
        <v>96</v>
      </c>
      <c r="F133">
        <v>1577</v>
      </c>
      <c r="G133">
        <v>1523</v>
      </c>
      <c r="H133" s="1">
        <v>46117</v>
      </c>
      <c r="I133" s="1">
        <v>46117</v>
      </c>
      <c r="J133">
        <v>34</v>
      </c>
      <c r="K133">
        <v>132</v>
      </c>
      <c r="L133">
        <f t="shared" si="10"/>
        <v>0</v>
      </c>
      <c r="M133" s="6">
        <f t="shared" si="11"/>
        <v>1</v>
      </c>
      <c r="N133" s="6">
        <f t="shared" si="12"/>
        <v>0.96575776791376033</v>
      </c>
      <c r="O133" s="6">
        <f t="shared" si="13"/>
        <v>0.97767564018384767</v>
      </c>
      <c r="P133">
        <f t="shared" si="14"/>
        <v>201036</v>
      </c>
      <c r="Q133" s="6">
        <f>MIN(Table1[Unit Price])/Table1[[#This Row],[Unit Price]]</f>
        <v>3.787878787878788E-2</v>
      </c>
      <c r="R133" s="8">
        <f>IF(Table1[[#This Row],[Delivery Delay]]&gt;0,1,0)</f>
        <v>0</v>
      </c>
      <c r="S133" s="6">
        <f>(Table1[[#This Row],[OTD]]*0.4)+(Table1[[#This Row],[Quality Rate]]*0.3)+(Table1[[#This Row],[Fill Rate]]*0.2)+(Table1[[#This Row],[Cost Score]]*0.1)</f>
        <v>0.89024212442578521</v>
      </c>
      <c r="T133">
        <f>MAX(Table1[OTD])</f>
        <v>1</v>
      </c>
      <c r="U133" t="str">
        <f>IF(Table1[[#This Row],[Vendor Score]]&gt;=90%,"Excellent",IF(Table1[[#This Row],[Vendor Score]]&gt;=75%,"Moderate","Poor"))</f>
        <v>Moderate</v>
      </c>
    </row>
    <row r="134" spans="1:21" x14ac:dyDescent="0.35">
      <c r="A134" t="s">
        <v>368</v>
      </c>
      <c r="B134" t="s">
        <v>38</v>
      </c>
      <c r="C134" t="s">
        <v>39</v>
      </c>
      <c r="D134" t="s">
        <v>33</v>
      </c>
      <c r="E134" t="s">
        <v>20</v>
      </c>
      <c r="F134">
        <v>1816</v>
      </c>
      <c r="G134">
        <v>1765</v>
      </c>
      <c r="H134" s="1">
        <v>46214</v>
      </c>
      <c r="I134" s="1">
        <v>46214</v>
      </c>
      <c r="J134">
        <v>38</v>
      </c>
      <c r="K134">
        <v>235</v>
      </c>
      <c r="L134">
        <f t="shared" si="10"/>
        <v>0</v>
      </c>
      <c r="M134" s="6">
        <f t="shared" si="11"/>
        <v>1</v>
      </c>
      <c r="N134" s="6">
        <f t="shared" si="12"/>
        <v>0.97191629955947134</v>
      </c>
      <c r="O134" s="6">
        <f t="shared" si="13"/>
        <v>0.97847025495750706</v>
      </c>
      <c r="P134">
        <f t="shared" si="14"/>
        <v>414775</v>
      </c>
      <c r="Q134" s="6">
        <f>MIN(Table1[Unit Price])/Table1[[#This Row],[Unit Price]]</f>
        <v>2.1276595744680851E-2</v>
      </c>
      <c r="R134" s="8">
        <f>IF(Table1[[#This Row],[Delivery Delay]]&gt;0,1,0)</f>
        <v>0</v>
      </c>
      <c r="S134" s="6">
        <f>(Table1[[#This Row],[OTD]]*0.4)+(Table1[[#This Row],[Quality Rate]]*0.3)+(Table1[[#This Row],[Fill Rate]]*0.2)+(Table1[[#This Row],[Cost Score]]*0.1)</f>
        <v>0.8900519959736144</v>
      </c>
      <c r="T134">
        <f>MAX(Table1[OTD])</f>
        <v>1</v>
      </c>
      <c r="U134" t="str">
        <f>IF(Table1[[#This Row],[Vendor Score]]&gt;=90%,"Excellent",IF(Table1[[#This Row],[Vendor Score]]&gt;=75%,"Moderate","Poor"))</f>
        <v>Moderate</v>
      </c>
    </row>
    <row r="135" spans="1:21" x14ac:dyDescent="0.35">
      <c r="A135" t="s">
        <v>484</v>
      </c>
      <c r="B135" t="s">
        <v>38</v>
      </c>
      <c r="C135" t="s">
        <v>39</v>
      </c>
      <c r="D135" t="s">
        <v>33</v>
      </c>
      <c r="E135" t="s">
        <v>20</v>
      </c>
      <c r="F135">
        <v>3169</v>
      </c>
      <c r="G135">
        <v>3074</v>
      </c>
      <c r="H135" s="1">
        <v>46204</v>
      </c>
      <c r="I135" s="1">
        <v>46204</v>
      </c>
      <c r="J135">
        <v>64</v>
      </c>
      <c r="K135">
        <v>219</v>
      </c>
      <c r="L135">
        <f t="shared" si="10"/>
        <v>0</v>
      </c>
      <c r="M135" s="6">
        <f t="shared" si="11"/>
        <v>1</v>
      </c>
      <c r="N135" s="6">
        <f t="shared" si="12"/>
        <v>0.97002208898706221</v>
      </c>
      <c r="O135" s="6">
        <f t="shared" si="13"/>
        <v>0.97918022121014969</v>
      </c>
      <c r="P135">
        <f t="shared" si="14"/>
        <v>673206</v>
      </c>
      <c r="Q135" s="6">
        <f>MIN(Table1[Unit Price])/Table1[[#This Row],[Unit Price]]</f>
        <v>2.2831050228310501E-2</v>
      </c>
      <c r="R135" s="8">
        <f>IF(Table1[[#This Row],[Delivery Delay]]&gt;0,1,0)</f>
        <v>0</v>
      </c>
      <c r="S135" s="6">
        <f>(Table1[[#This Row],[OTD]]*0.4)+(Table1[[#This Row],[Quality Rate]]*0.3)+(Table1[[#This Row],[Fill Rate]]*0.2)+(Table1[[#This Row],[Cost Score]]*0.1)</f>
        <v>0.89004158918328835</v>
      </c>
      <c r="T135">
        <f>MAX(Table1[OTD])</f>
        <v>1</v>
      </c>
      <c r="U135" t="str">
        <f>IF(Table1[[#This Row],[Vendor Score]]&gt;=90%,"Excellent",IF(Table1[[#This Row],[Vendor Score]]&gt;=75%,"Moderate","Poor"))</f>
        <v>Moderate</v>
      </c>
    </row>
    <row r="136" spans="1:21" x14ac:dyDescent="0.35">
      <c r="A136" t="s">
        <v>16</v>
      </c>
      <c r="B136" t="s">
        <v>17</v>
      </c>
      <c r="C136" t="s">
        <v>18</v>
      </c>
      <c r="D136" t="s">
        <v>19</v>
      </c>
      <c r="E136" t="s">
        <v>20</v>
      </c>
      <c r="F136">
        <v>1540</v>
      </c>
      <c r="G136">
        <v>1523</v>
      </c>
      <c r="H136" s="1">
        <v>46221</v>
      </c>
      <c r="I136" s="1">
        <v>46220</v>
      </c>
      <c r="J136">
        <v>64</v>
      </c>
      <c r="K136">
        <v>104</v>
      </c>
      <c r="L136">
        <f t="shared" si="10"/>
        <v>-1</v>
      </c>
      <c r="M136" s="6">
        <f t="shared" si="11"/>
        <v>1</v>
      </c>
      <c r="N136" s="6">
        <f t="shared" si="12"/>
        <v>0.98896103896103893</v>
      </c>
      <c r="O136" s="6">
        <f t="shared" si="13"/>
        <v>0.95797767564018388</v>
      </c>
      <c r="P136">
        <f t="shared" si="14"/>
        <v>158392</v>
      </c>
      <c r="Q136" s="6">
        <f>MIN(Table1[Unit Price])/Table1[[#This Row],[Unit Price]]</f>
        <v>4.807692307692308E-2</v>
      </c>
      <c r="R136" s="8">
        <f>IF(Table1[[#This Row],[Delivery Delay]]&gt;0,1,0)</f>
        <v>0</v>
      </c>
      <c r="S136" s="6">
        <f>(Table1[[#This Row],[OTD]]*0.4)+(Table1[[#This Row],[Quality Rate]]*0.3)+(Table1[[#This Row],[Fill Rate]]*0.2)+(Table1[[#This Row],[Cost Score]]*0.1)</f>
        <v>0.88999320279195526</v>
      </c>
      <c r="T136">
        <f>MAX(Table1[OTD])</f>
        <v>1</v>
      </c>
      <c r="U136" t="str">
        <f>IF(Table1[[#This Row],[Vendor Score]]&gt;=90%,"Excellent",IF(Table1[[#This Row],[Vendor Score]]&gt;=75%,"Moderate","Poor"))</f>
        <v>Moderate</v>
      </c>
    </row>
    <row r="137" spans="1:21" x14ac:dyDescent="0.35">
      <c r="A137" t="s">
        <v>191</v>
      </c>
      <c r="B137" t="s">
        <v>12</v>
      </c>
      <c r="C137" t="s">
        <v>13</v>
      </c>
      <c r="D137" t="s">
        <v>19</v>
      </c>
      <c r="E137" t="s">
        <v>70</v>
      </c>
      <c r="F137">
        <v>1904</v>
      </c>
      <c r="G137">
        <v>1755</v>
      </c>
      <c r="H137" s="1">
        <v>46039</v>
      </c>
      <c r="I137" s="1">
        <v>46037</v>
      </c>
      <c r="J137">
        <v>211</v>
      </c>
      <c r="K137">
        <v>12</v>
      </c>
      <c r="L137">
        <f t="shared" si="10"/>
        <v>-2</v>
      </c>
      <c r="M137" s="6">
        <f t="shared" si="11"/>
        <v>1</v>
      </c>
      <c r="N137" s="6">
        <f t="shared" si="12"/>
        <v>0.92174369747899154</v>
      </c>
      <c r="O137" s="6">
        <f t="shared" si="13"/>
        <v>0.87977207977207972</v>
      </c>
      <c r="P137">
        <f t="shared" si="14"/>
        <v>21060</v>
      </c>
      <c r="Q137" s="6">
        <f>MIN(Table1[Unit Price])/Table1[[#This Row],[Unit Price]]</f>
        <v>0.41666666666666669</v>
      </c>
      <c r="R137" s="8">
        <f>IF(Table1[[#This Row],[Delivery Delay]]&gt;0,1,0)</f>
        <v>0</v>
      </c>
      <c r="S137" s="6">
        <f>(Table1[[#This Row],[OTD]]*0.4)+(Table1[[#This Row],[Quality Rate]]*0.3)+(Table1[[#This Row],[Fill Rate]]*0.2)+(Table1[[#This Row],[Cost Score]]*0.1)</f>
        <v>0.88994703009408893</v>
      </c>
      <c r="T137">
        <f>MAX(Table1[OTD])</f>
        <v>1</v>
      </c>
      <c r="U137" t="str">
        <f>IF(Table1[[#This Row],[Vendor Score]]&gt;=90%,"Excellent",IF(Table1[[#This Row],[Vendor Score]]&gt;=75%,"Moderate","Poor"))</f>
        <v>Moderate</v>
      </c>
    </row>
    <row r="138" spans="1:21" x14ac:dyDescent="0.35">
      <c r="A138" t="s">
        <v>394</v>
      </c>
      <c r="B138" t="s">
        <v>26</v>
      </c>
      <c r="C138" t="s">
        <v>27</v>
      </c>
      <c r="D138" t="s">
        <v>14</v>
      </c>
      <c r="E138" t="s">
        <v>47</v>
      </c>
      <c r="F138">
        <v>332</v>
      </c>
      <c r="G138">
        <v>313</v>
      </c>
      <c r="H138" s="1">
        <v>46345</v>
      </c>
      <c r="I138" s="1">
        <v>46343</v>
      </c>
      <c r="J138">
        <v>5</v>
      </c>
      <c r="K138">
        <v>83</v>
      </c>
      <c r="L138">
        <f t="shared" si="10"/>
        <v>-2</v>
      </c>
      <c r="M138" s="6">
        <f t="shared" si="11"/>
        <v>1</v>
      </c>
      <c r="N138" s="6">
        <f t="shared" si="12"/>
        <v>0.94277108433734935</v>
      </c>
      <c r="O138" s="6">
        <f t="shared" si="13"/>
        <v>0.98402555910543132</v>
      </c>
      <c r="P138">
        <f t="shared" si="14"/>
        <v>25979</v>
      </c>
      <c r="Q138" s="6">
        <f>MIN(Table1[Unit Price])/Table1[[#This Row],[Unit Price]]</f>
        <v>6.0240963855421686E-2</v>
      </c>
      <c r="R138" s="8">
        <f>IF(Table1[[#This Row],[Delivery Delay]]&gt;0,1,0)</f>
        <v>0</v>
      </c>
      <c r="S138" s="6">
        <f>(Table1[[#This Row],[OTD]]*0.4)+(Table1[[#This Row],[Quality Rate]]*0.3)+(Table1[[#This Row],[Fill Rate]]*0.2)+(Table1[[#This Row],[Cost Score]]*0.1)</f>
        <v>0.88978598098464146</v>
      </c>
      <c r="T138">
        <f>MAX(Table1[OTD])</f>
        <v>1</v>
      </c>
      <c r="U138" t="str">
        <f>IF(Table1[[#This Row],[Vendor Score]]&gt;=90%,"Excellent",IF(Table1[[#This Row],[Vendor Score]]&gt;=75%,"Moderate","Poor"))</f>
        <v>Moderate</v>
      </c>
    </row>
    <row r="139" spans="1:21" x14ac:dyDescent="0.35">
      <c r="A139" t="s">
        <v>501</v>
      </c>
      <c r="B139" t="s">
        <v>26</v>
      </c>
      <c r="C139" t="s">
        <v>27</v>
      </c>
      <c r="D139" t="s">
        <v>19</v>
      </c>
      <c r="E139" t="s">
        <v>20</v>
      </c>
      <c r="F139">
        <v>1521</v>
      </c>
      <c r="G139">
        <v>1447</v>
      </c>
      <c r="H139" s="1">
        <v>46210</v>
      </c>
      <c r="I139" s="1">
        <v>46209</v>
      </c>
      <c r="J139">
        <v>16</v>
      </c>
      <c r="K139">
        <v>179</v>
      </c>
      <c r="L139">
        <f t="shared" si="10"/>
        <v>-1</v>
      </c>
      <c r="M139" s="6">
        <f t="shared" si="11"/>
        <v>1</v>
      </c>
      <c r="N139" s="6">
        <f t="shared" si="12"/>
        <v>0.95134779750164367</v>
      </c>
      <c r="O139" s="6">
        <f t="shared" si="13"/>
        <v>0.98894263994471321</v>
      </c>
      <c r="P139">
        <f t="shared" si="14"/>
        <v>259013</v>
      </c>
      <c r="Q139" s="6">
        <f>MIN(Table1[Unit Price])/Table1[[#This Row],[Unit Price]]</f>
        <v>2.7932960893854747E-2</v>
      </c>
      <c r="R139" s="8">
        <f>IF(Table1[[#This Row],[Delivery Delay]]&gt;0,1,0)</f>
        <v>0</v>
      </c>
      <c r="S139" s="6">
        <f>(Table1[[#This Row],[OTD]]*0.4)+(Table1[[#This Row],[Quality Rate]]*0.3)+(Table1[[#This Row],[Fill Rate]]*0.2)+(Table1[[#This Row],[Cost Score]]*0.1)</f>
        <v>0.88974564757312824</v>
      </c>
      <c r="T139">
        <f>MAX(Table1[OTD])</f>
        <v>1</v>
      </c>
      <c r="U139" t="str">
        <f>IF(Table1[[#This Row],[Vendor Score]]&gt;=90%,"Excellent",IF(Table1[[#This Row],[Vendor Score]]&gt;=75%,"Moderate","Poor"))</f>
        <v>Moderate</v>
      </c>
    </row>
    <row r="140" spans="1:21" x14ac:dyDescent="0.35">
      <c r="A140" t="s">
        <v>73</v>
      </c>
      <c r="B140" t="s">
        <v>45</v>
      </c>
      <c r="C140" t="s">
        <v>46</v>
      </c>
      <c r="D140" t="s">
        <v>55</v>
      </c>
      <c r="E140" t="s">
        <v>20</v>
      </c>
      <c r="F140">
        <v>3257</v>
      </c>
      <c r="G140">
        <v>3225</v>
      </c>
      <c r="H140" s="1">
        <v>46223</v>
      </c>
      <c r="I140" s="1">
        <v>46221</v>
      </c>
      <c r="J140">
        <v>296</v>
      </c>
      <c r="K140">
        <v>26</v>
      </c>
      <c r="L140">
        <f t="shared" si="10"/>
        <v>-2</v>
      </c>
      <c r="M140" s="6">
        <f t="shared" si="11"/>
        <v>1</v>
      </c>
      <c r="N140" s="6">
        <f t="shared" si="12"/>
        <v>0.99017500767577526</v>
      </c>
      <c r="O140" s="6">
        <f t="shared" si="13"/>
        <v>0.90821705426356591</v>
      </c>
      <c r="P140">
        <f t="shared" si="14"/>
        <v>83850</v>
      </c>
      <c r="Q140" s="6">
        <f>MIN(Table1[Unit Price])/Table1[[#This Row],[Unit Price]]</f>
        <v>0.19230769230769232</v>
      </c>
      <c r="R140" s="8">
        <f>IF(Table1[[#This Row],[Delivery Delay]]&gt;0,1,0)</f>
        <v>0</v>
      </c>
      <c r="S140" s="6">
        <f>(Table1[[#This Row],[OTD]]*0.4)+(Table1[[#This Row],[Quality Rate]]*0.3)+(Table1[[#This Row],[Fill Rate]]*0.2)+(Table1[[#This Row],[Cost Score]]*0.1)</f>
        <v>0.88973088704499415</v>
      </c>
      <c r="T140">
        <f>MAX(Table1[OTD])</f>
        <v>1</v>
      </c>
      <c r="U140" t="str">
        <f>IF(Table1[[#This Row],[Vendor Score]]&gt;=90%,"Excellent",IF(Table1[[#This Row],[Vendor Score]]&gt;=75%,"Moderate","Poor"))</f>
        <v>Moderate</v>
      </c>
    </row>
    <row r="141" spans="1:21" x14ac:dyDescent="0.35">
      <c r="A141" t="s">
        <v>102</v>
      </c>
      <c r="B141" t="s">
        <v>78</v>
      </c>
      <c r="C141" t="s">
        <v>79</v>
      </c>
      <c r="D141" t="s">
        <v>14</v>
      </c>
      <c r="E141" t="s">
        <v>57</v>
      </c>
      <c r="F141">
        <v>964</v>
      </c>
      <c r="G141">
        <v>921</v>
      </c>
      <c r="H141" s="1">
        <v>46307</v>
      </c>
      <c r="I141" s="1">
        <v>46306</v>
      </c>
      <c r="J141">
        <v>48</v>
      </c>
      <c r="K141">
        <v>35</v>
      </c>
      <c r="L141">
        <f t="shared" si="10"/>
        <v>-1</v>
      </c>
      <c r="M141" s="6">
        <f t="shared" si="11"/>
        <v>1</v>
      </c>
      <c r="N141" s="6">
        <f t="shared" si="12"/>
        <v>0.95539419087136934</v>
      </c>
      <c r="O141" s="6">
        <f t="shared" si="13"/>
        <v>0.94788273615635177</v>
      </c>
      <c r="P141">
        <f t="shared" si="14"/>
        <v>32235</v>
      </c>
      <c r="Q141" s="6">
        <f>MIN(Table1[Unit Price])/Table1[[#This Row],[Unit Price]]</f>
        <v>0.14285714285714285</v>
      </c>
      <c r="R141" s="8">
        <f>IF(Table1[[#This Row],[Delivery Delay]]&gt;0,1,0)</f>
        <v>0</v>
      </c>
      <c r="S141" s="6">
        <f>(Table1[[#This Row],[OTD]]*0.4)+(Table1[[#This Row],[Quality Rate]]*0.3)+(Table1[[#This Row],[Fill Rate]]*0.2)+(Table1[[#This Row],[Cost Score]]*0.1)</f>
        <v>0.88972937330689361</v>
      </c>
      <c r="T141">
        <f>MAX(Table1[OTD])</f>
        <v>1</v>
      </c>
      <c r="U141" t="str">
        <f>IF(Table1[[#This Row],[Vendor Score]]&gt;=90%,"Excellent",IF(Table1[[#This Row],[Vendor Score]]&gt;=75%,"Moderate","Poor"))</f>
        <v>Moderate</v>
      </c>
    </row>
    <row r="142" spans="1:21" x14ac:dyDescent="0.35">
      <c r="A142" t="s">
        <v>508</v>
      </c>
      <c r="B142" t="s">
        <v>42</v>
      </c>
      <c r="C142" t="s">
        <v>43</v>
      </c>
      <c r="D142" t="s">
        <v>14</v>
      </c>
      <c r="E142" t="s">
        <v>34</v>
      </c>
      <c r="F142">
        <v>2454</v>
      </c>
      <c r="G142">
        <v>2325</v>
      </c>
      <c r="H142" s="1">
        <v>46200</v>
      </c>
      <c r="I142" s="1">
        <v>46200</v>
      </c>
      <c r="J142">
        <v>25</v>
      </c>
      <c r="K142">
        <v>156</v>
      </c>
      <c r="L142">
        <f t="shared" si="10"/>
        <v>0</v>
      </c>
      <c r="M142" s="6">
        <f t="shared" si="11"/>
        <v>1</v>
      </c>
      <c r="N142" s="6">
        <f t="shared" si="12"/>
        <v>0.94743276283618583</v>
      </c>
      <c r="O142" s="6">
        <f t="shared" si="13"/>
        <v>0.989247311827957</v>
      </c>
      <c r="P142">
        <f t="shared" si="14"/>
        <v>362700</v>
      </c>
      <c r="Q142" s="6">
        <f>MIN(Table1[Unit Price])/Table1[[#This Row],[Unit Price]]</f>
        <v>3.2051282051282048E-2</v>
      </c>
      <c r="R142" s="8">
        <f>IF(Table1[[#This Row],[Delivery Delay]]&gt;0,1,0)</f>
        <v>0</v>
      </c>
      <c r="S142" s="6">
        <f>(Table1[[#This Row],[OTD]]*0.4)+(Table1[[#This Row],[Quality Rate]]*0.3)+(Table1[[#This Row],[Fill Rate]]*0.2)+(Table1[[#This Row],[Cost Score]]*0.1)</f>
        <v>0.88946587432075241</v>
      </c>
      <c r="T142">
        <f>MAX(Table1[OTD])</f>
        <v>1</v>
      </c>
      <c r="U142" t="str">
        <f>IF(Table1[[#This Row],[Vendor Score]]&gt;=90%,"Excellent",IF(Table1[[#This Row],[Vendor Score]]&gt;=75%,"Moderate","Poor"))</f>
        <v>Moderate</v>
      </c>
    </row>
    <row r="143" spans="1:21" x14ac:dyDescent="0.35">
      <c r="A143" t="s">
        <v>164</v>
      </c>
      <c r="B143" t="s">
        <v>38</v>
      </c>
      <c r="C143" t="s">
        <v>39</v>
      </c>
      <c r="D143" t="s">
        <v>33</v>
      </c>
      <c r="E143" t="s">
        <v>40</v>
      </c>
      <c r="F143">
        <v>2902</v>
      </c>
      <c r="G143">
        <v>2706</v>
      </c>
      <c r="H143" s="1">
        <v>46236</v>
      </c>
      <c r="I143" s="1">
        <v>46234</v>
      </c>
      <c r="J143">
        <v>56</v>
      </c>
      <c r="K143">
        <v>55</v>
      </c>
      <c r="L143">
        <f t="shared" si="10"/>
        <v>-2</v>
      </c>
      <c r="M143" s="6">
        <f t="shared" si="11"/>
        <v>1</v>
      </c>
      <c r="N143" s="6">
        <f t="shared" si="12"/>
        <v>0.93246037215713307</v>
      </c>
      <c r="O143" s="6">
        <f t="shared" si="13"/>
        <v>0.97930524759793047</v>
      </c>
      <c r="P143">
        <f t="shared" si="14"/>
        <v>148830</v>
      </c>
      <c r="Q143" s="6">
        <f>MIN(Table1[Unit Price])/Table1[[#This Row],[Unit Price]]</f>
        <v>9.0909090909090912E-2</v>
      </c>
      <c r="R143" s="8">
        <f>IF(Table1[[#This Row],[Delivery Delay]]&gt;0,1,0)</f>
        <v>0</v>
      </c>
      <c r="S143" s="6">
        <f>(Table1[[#This Row],[OTD]]*0.4)+(Table1[[#This Row],[Quality Rate]]*0.3)+(Table1[[#This Row],[Fill Rate]]*0.2)+(Table1[[#This Row],[Cost Score]]*0.1)</f>
        <v>0.88937455780171493</v>
      </c>
      <c r="T143">
        <f>MAX(Table1[OTD])</f>
        <v>1</v>
      </c>
      <c r="U143" t="str">
        <f>IF(Table1[[#This Row],[Vendor Score]]&gt;=90%,"Excellent",IF(Table1[[#This Row],[Vendor Score]]&gt;=75%,"Moderate","Poor"))</f>
        <v>Moderate</v>
      </c>
    </row>
    <row r="144" spans="1:21" x14ac:dyDescent="0.35">
      <c r="A144" t="s">
        <v>210</v>
      </c>
      <c r="B144" t="s">
        <v>30</v>
      </c>
      <c r="C144" t="s">
        <v>31</v>
      </c>
      <c r="D144" t="s">
        <v>33</v>
      </c>
      <c r="E144" t="s">
        <v>96</v>
      </c>
      <c r="F144">
        <v>2374</v>
      </c>
      <c r="G144">
        <v>2279</v>
      </c>
      <c r="H144" s="1">
        <v>46118</v>
      </c>
      <c r="I144" s="1">
        <v>46117</v>
      </c>
      <c r="J144">
        <v>70</v>
      </c>
      <c r="K144">
        <v>77</v>
      </c>
      <c r="L144">
        <f t="shared" si="10"/>
        <v>-1</v>
      </c>
      <c r="M144" s="6">
        <f t="shared" si="11"/>
        <v>1</v>
      </c>
      <c r="N144" s="6">
        <f t="shared" si="12"/>
        <v>0.95998315080033703</v>
      </c>
      <c r="O144" s="6">
        <f t="shared" si="13"/>
        <v>0.96928477402369462</v>
      </c>
      <c r="P144">
        <f t="shared" si="14"/>
        <v>175483</v>
      </c>
      <c r="Q144" s="6">
        <f>MIN(Table1[Unit Price])/Table1[[#This Row],[Unit Price]]</f>
        <v>6.4935064935064929E-2</v>
      </c>
      <c r="R144" s="8">
        <f>IF(Table1[[#This Row],[Delivery Delay]]&gt;0,1,0)</f>
        <v>0</v>
      </c>
      <c r="S144" s="6">
        <f>(Table1[[#This Row],[OTD]]*0.4)+(Table1[[#This Row],[Quality Rate]]*0.3)+(Table1[[#This Row],[Fill Rate]]*0.2)+(Table1[[#This Row],[Cost Score]]*0.1)</f>
        <v>0.88927556886068226</v>
      </c>
      <c r="T144">
        <f>MAX(Table1[OTD])</f>
        <v>1</v>
      </c>
      <c r="U144" t="str">
        <f>IF(Table1[[#This Row],[Vendor Score]]&gt;=90%,"Excellent",IF(Table1[[#This Row],[Vendor Score]]&gt;=75%,"Moderate","Poor"))</f>
        <v>Moderate</v>
      </c>
    </row>
    <row r="145" spans="1:21" x14ac:dyDescent="0.35">
      <c r="A145" t="s">
        <v>496</v>
      </c>
      <c r="B145" t="s">
        <v>26</v>
      </c>
      <c r="C145" t="s">
        <v>27</v>
      </c>
      <c r="D145" t="s">
        <v>33</v>
      </c>
      <c r="E145" t="s">
        <v>63</v>
      </c>
      <c r="F145">
        <v>4679</v>
      </c>
      <c r="G145">
        <v>4442</v>
      </c>
      <c r="H145" s="1">
        <v>46066</v>
      </c>
      <c r="I145" s="1">
        <v>46064</v>
      </c>
      <c r="J145">
        <v>49</v>
      </c>
      <c r="K145">
        <v>189</v>
      </c>
      <c r="L145">
        <f t="shared" si="10"/>
        <v>-2</v>
      </c>
      <c r="M145" s="6">
        <f t="shared" si="11"/>
        <v>1</v>
      </c>
      <c r="N145" s="6">
        <f t="shared" si="12"/>
        <v>0.94934815131438344</v>
      </c>
      <c r="O145" s="6">
        <f t="shared" si="13"/>
        <v>0.98896893291310217</v>
      </c>
      <c r="P145">
        <f t="shared" si="14"/>
        <v>839538</v>
      </c>
      <c r="Q145" s="6">
        <f>MIN(Table1[Unit Price])/Table1[[#This Row],[Unit Price]]</f>
        <v>2.6455026455026454E-2</v>
      </c>
      <c r="R145" s="8">
        <f>IF(Table1[[#This Row],[Delivery Delay]]&gt;0,1,0)</f>
        <v>0</v>
      </c>
      <c r="S145" s="6">
        <f>(Table1[[#This Row],[OTD]]*0.4)+(Table1[[#This Row],[Quality Rate]]*0.3)+(Table1[[#This Row],[Fill Rate]]*0.2)+(Table1[[#This Row],[Cost Score]]*0.1)</f>
        <v>0.88920581278231015</v>
      </c>
      <c r="T145">
        <f>MAX(Table1[OTD])</f>
        <v>1</v>
      </c>
      <c r="U145" t="str">
        <f>IF(Table1[[#This Row],[Vendor Score]]&gt;=90%,"Excellent",IF(Table1[[#This Row],[Vendor Score]]&gt;=75%,"Moderate","Poor"))</f>
        <v>Moderate</v>
      </c>
    </row>
    <row r="146" spans="1:21" x14ac:dyDescent="0.35">
      <c r="A146" t="s">
        <v>201</v>
      </c>
      <c r="B146" t="s">
        <v>17</v>
      </c>
      <c r="C146" t="s">
        <v>18</v>
      </c>
      <c r="D146" t="s">
        <v>55</v>
      </c>
      <c r="E146" t="s">
        <v>63</v>
      </c>
      <c r="F146">
        <v>4639</v>
      </c>
      <c r="G146">
        <v>4594</v>
      </c>
      <c r="H146" s="1">
        <v>46078</v>
      </c>
      <c r="I146" s="1">
        <v>46076</v>
      </c>
      <c r="J146">
        <v>184</v>
      </c>
      <c r="K146">
        <v>170</v>
      </c>
      <c r="L146">
        <f t="shared" si="10"/>
        <v>-2</v>
      </c>
      <c r="M146" s="6">
        <f t="shared" si="11"/>
        <v>1</v>
      </c>
      <c r="N146" s="6">
        <f t="shared" si="12"/>
        <v>0.99029963354171158</v>
      </c>
      <c r="O146" s="6">
        <f t="shared" si="13"/>
        <v>0.95994775794514586</v>
      </c>
      <c r="P146">
        <f t="shared" si="14"/>
        <v>780980</v>
      </c>
      <c r="Q146" s="6">
        <f>MIN(Table1[Unit Price])/Table1[[#This Row],[Unit Price]]</f>
        <v>2.9411764705882353E-2</v>
      </c>
      <c r="R146" s="8">
        <f>IF(Table1[[#This Row],[Delivery Delay]]&gt;0,1,0)</f>
        <v>0</v>
      </c>
      <c r="S146" s="6">
        <f>(Table1[[#This Row],[OTD]]*0.4)+(Table1[[#This Row],[Quality Rate]]*0.3)+(Table1[[#This Row],[Fill Rate]]*0.2)+(Table1[[#This Row],[Cost Score]]*0.1)</f>
        <v>0.88898543056247425</v>
      </c>
      <c r="T146">
        <f>MAX(Table1[OTD])</f>
        <v>1</v>
      </c>
      <c r="U146" t="str">
        <f>IF(Table1[[#This Row],[Vendor Score]]&gt;=90%,"Excellent",IF(Table1[[#This Row],[Vendor Score]]&gt;=75%,"Moderate","Poor"))</f>
        <v>Moderate</v>
      </c>
    </row>
    <row r="147" spans="1:21" x14ac:dyDescent="0.35">
      <c r="A147" t="s">
        <v>184</v>
      </c>
      <c r="B147" t="s">
        <v>26</v>
      </c>
      <c r="C147" t="s">
        <v>27</v>
      </c>
      <c r="D147" t="s">
        <v>55</v>
      </c>
      <c r="E147" t="s">
        <v>96</v>
      </c>
      <c r="F147">
        <v>4430</v>
      </c>
      <c r="G147">
        <v>4212</v>
      </c>
      <c r="H147" s="1">
        <v>46142</v>
      </c>
      <c r="I147" s="1">
        <v>46140</v>
      </c>
      <c r="J147">
        <v>48</v>
      </c>
      <c r="K147">
        <v>225</v>
      </c>
      <c r="L147">
        <f t="shared" si="10"/>
        <v>-2</v>
      </c>
      <c r="M147" s="6">
        <f t="shared" si="11"/>
        <v>1</v>
      </c>
      <c r="N147" s="6">
        <f t="shared" si="12"/>
        <v>0.95079006772009034</v>
      </c>
      <c r="O147" s="6">
        <f t="shared" si="13"/>
        <v>0.98860398860398857</v>
      </c>
      <c r="P147">
        <f t="shared" si="14"/>
        <v>947700</v>
      </c>
      <c r="Q147" s="6">
        <f>MIN(Table1[Unit Price])/Table1[[#This Row],[Unit Price]]</f>
        <v>2.2222222222222223E-2</v>
      </c>
      <c r="R147" s="8">
        <f>IF(Table1[[#This Row],[Delivery Delay]]&gt;0,1,0)</f>
        <v>0</v>
      </c>
      <c r="S147" s="6">
        <f>(Table1[[#This Row],[OTD]]*0.4)+(Table1[[#This Row],[Quality Rate]]*0.3)+(Table1[[#This Row],[Fill Rate]]*0.2)+(Table1[[#This Row],[Cost Score]]*0.1)</f>
        <v>0.88896143234743685</v>
      </c>
      <c r="T147">
        <f>MAX(Table1[OTD])</f>
        <v>1</v>
      </c>
      <c r="U147" t="str">
        <f>IF(Table1[[#This Row],[Vendor Score]]&gt;=90%,"Excellent",IF(Table1[[#This Row],[Vendor Score]]&gt;=75%,"Moderate","Poor"))</f>
        <v>Moderate</v>
      </c>
    </row>
    <row r="148" spans="1:21" x14ac:dyDescent="0.35">
      <c r="A148" t="s">
        <v>195</v>
      </c>
      <c r="B148" t="s">
        <v>42</v>
      </c>
      <c r="C148" t="s">
        <v>43</v>
      </c>
      <c r="D148" t="s">
        <v>19</v>
      </c>
      <c r="E148" t="s">
        <v>57</v>
      </c>
      <c r="F148">
        <v>3868</v>
      </c>
      <c r="G148">
        <v>3672</v>
      </c>
      <c r="H148" s="1">
        <v>46298</v>
      </c>
      <c r="I148" s="1">
        <v>46298</v>
      </c>
      <c r="J148">
        <v>40</v>
      </c>
      <c r="K148">
        <v>218</v>
      </c>
      <c r="L148">
        <f t="shared" si="10"/>
        <v>0</v>
      </c>
      <c r="M148" s="6">
        <f t="shared" si="11"/>
        <v>1</v>
      </c>
      <c r="N148" s="6">
        <f t="shared" si="12"/>
        <v>0.94932781799379529</v>
      </c>
      <c r="O148" s="6">
        <f t="shared" si="13"/>
        <v>0.98910675381263613</v>
      </c>
      <c r="P148">
        <f t="shared" si="14"/>
        <v>800496</v>
      </c>
      <c r="Q148" s="6">
        <f>MIN(Table1[Unit Price])/Table1[[#This Row],[Unit Price]]</f>
        <v>2.2935779816513763E-2</v>
      </c>
      <c r="R148" s="8">
        <f>IF(Table1[[#This Row],[Delivery Delay]]&gt;0,1,0)</f>
        <v>0</v>
      </c>
      <c r="S148" s="6">
        <f>(Table1[[#This Row],[OTD]]*0.4)+(Table1[[#This Row],[Quality Rate]]*0.3)+(Table1[[#This Row],[Fill Rate]]*0.2)+(Table1[[#This Row],[Cost Score]]*0.1)</f>
        <v>0.88889116772420129</v>
      </c>
      <c r="T148">
        <f>MAX(Table1[OTD])</f>
        <v>1</v>
      </c>
      <c r="U148" t="str">
        <f>IF(Table1[[#This Row],[Vendor Score]]&gt;=90%,"Excellent",IF(Table1[[#This Row],[Vendor Score]]&gt;=75%,"Moderate","Poor"))</f>
        <v>Moderate</v>
      </c>
    </row>
    <row r="149" spans="1:21" x14ac:dyDescent="0.35">
      <c r="A149" t="s">
        <v>483</v>
      </c>
      <c r="B149" t="s">
        <v>26</v>
      </c>
      <c r="C149" t="s">
        <v>27</v>
      </c>
      <c r="D149" t="s">
        <v>55</v>
      </c>
      <c r="E149" t="s">
        <v>20</v>
      </c>
      <c r="F149">
        <v>2529</v>
      </c>
      <c r="G149">
        <v>2388</v>
      </c>
      <c r="H149" s="1">
        <v>46228</v>
      </c>
      <c r="I149" s="1">
        <v>46228</v>
      </c>
      <c r="J149">
        <v>25</v>
      </c>
      <c r="K149">
        <v>158</v>
      </c>
      <c r="L149">
        <f t="shared" si="10"/>
        <v>0</v>
      </c>
      <c r="M149" s="6">
        <f t="shared" si="11"/>
        <v>1</v>
      </c>
      <c r="N149" s="6">
        <f t="shared" si="12"/>
        <v>0.94424673784104385</v>
      </c>
      <c r="O149" s="6">
        <f t="shared" si="13"/>
        <v>0.98953098827470687</v>
      </c>
      <c r="P149">
        <f t="shared" si="14"/>
        <v>377304</v>
      </c>
      <c r="Q149" s="6">
        <f>MIN(Table1[Unit Price])/Table1[[#This Row],[Unit Price]]</f>
        <v>3.1645569620253167E-2</v>
      </c>
      <c r="R149" s="8">
        <f>IF(Table1[[#This Row],[Delivery Delay]]&gt;0,1,0)</f>
        <v>0</v>
      </c>
      <c r="S149" s="6">
        <f>(Table1[[#This Row],[OTD]]*0.4)+(Table1[[#This Row],[Quality Rate]]*0.3)+(Table1[[#This Row],[Fill Rate]]*0.2)+(Table1[[#This Row],[Cost Score]]*0.1)</f>
        <v>0.88887320101264622</v>
      </c>
      <c r="T149">
        <f>MAX(Table1[OTD])</f>
        <v>1</v>
      </c>
      <c r="U149" t="str">
        <f>IF(Table1[[#This Row],[Vendor Score]]&gt;=90%,"Excellent",IF(Table1[[#This Row],[Vendor Score]]&gt;=75%,"Moderate","Poor"))</f>
        <v>Moderate</v>
      </c>
    </row>
    <row r="150" spans="1:21" x14ac:dyDescent="0.35">
      <c r="A150" t="s">
        <v>149</v>
      </c>
      <c r="B150" t="s">
        <v>22</v>
      </c>
      <c r="C150" t="s">
        <v>23</v>
      </c>
      <c r="D150" t="s">
        <v>14</v>
      </c>
      <c r="E150" t="s">
        <v>52</v>
      </c>
      <c r="F150">
        <v>1615</v>
      </c>
      <c r="G150">
        <v>1591</v>
      </c>
      <c r="H150" s="1">
        <v>46086</v>
      </c>
      <c r="I150" s="1">
        <v>46084</v>
      </c>
      <c r="J150">
        <v>117</v>
      </c>
      <c r="K150">
        <v>36</v>
      </c>
      <c r="L150">
        <f t="shared" si="10"/>
        <v>-2</v>
      </c>
      <c r="M150" s="6">
        <f t="shared" si="11"/>
        <v>1</v>
      </c>
      <c r="N150" s="6">
        <f t="shared" si="12"/>
        <v>0.98513931888544892</v>
      </c>
      <c r="O150" s="6">
        <f t="shared" si="13"/>
        <v>0.9264613450659962</v>
      </c>
      <c r="P150">
        <f t="shared" si="14"/>
        <v>57276</v>
      </c>
      <c r="Q150" s="6">
        <f>MIN(Table1[Unit Price])/Table1[[#This Row],[Unit Price]]</f>
        <v>0.1388888888888889</v>
      </c>
      <c r="R150" s="8">
        <f>IF(Table1[[#This Row],[Delivery Delay]]&gt;0,1,0)</f>
        <v>0</v>
      </c>
      <c r="S150" s="6">
        <f>(Table1[[#This Row],[OTD]]*0.4)+(Table1[[#This Row],[Quality Rate]]*0.3)+(Table1[[#This Row],[Fill Rate]]*0.2)+(Table1[[#This Row],[Cost Score]]*0.1)</f>
        <v>0.88885515618577748</v>
      </c>
      <c r="T150">
        <f>MAX(Table1[OTD])</f>
        <v>1</v>
      </c>
      <c r="U150" t="str">
        <f>IF(Table1[[#This Row],[Vendor Score]]&gt;=90%,"Excellent",IF(Table1[[#This Row],[Vendor Score]]&gt;=75%,"Moderate","Poor"))</f>
        <v>Moderate</v>
      </c>
    </row>
    <row r="151" spans="1:21" x14ac:dyDescent="0.35">
      <c r="A151" t="s">
        <v>49</v>
      </c>
      <c r="B151" t="s">
        <v>42</v>
      </c>
      <c r="C151" t="s">
        <v>43</v>
      </c>
      <c r="D151" t="s">
        <v>14</v>
      </c>
      <c r="E151" t="s">
        <v>47</v>
      </c>
      <c r="F151">
        <v>4435</v>
      </c>
      <c r="G151">
        <v>4174</v>
      </c>
      <c r="H151" s="1">
        <v>46333</v>
      </c>
      <c r="I151" s="1">
        <v>46331</v>
      </c>
      <c r="J151">
        <v>43</v>
      </c>
      <c r="K151">
        <v>135</v>
      </c>
      <c r="L151">
        <f t="shared" si="10"/>
        <v>-2</v>
      </c>
      <c r="M151" s="6">
        <f t="shared" si="11"/>
        <v>1</v>
      </c>
      <c r="N151" s="6">
        <f t="shared" si="12"/>
        <v>0.9411499436302142</v>
      </c>
      <c r="O151" s="6">
        <f t="shared" si="13"/>
        <v>0.98969813128893147</v>
      </c>
      <c r="P151">
        <f t="shared" si="14"/>
        <v>563490</v>
      </c>
      <c r="Q151" s="6">
        <f>MIN(Table1[Unit Price])/Table1[[#This Row],[Unit Price]]</f>
        <v>3.7037037037037035E-2</v>
      </c>
      <c r="R151" s="8">
        <f>IF(Table1[[#This Row],[Delivery Delay]]&gt;0,1,0)</f>
        <v>0</v>
      </c>
      <c r="S151" s="6">
        <f>(Table1[[#This Row],[OTD]]*0.4)+(Table1[[#This Row],[Quality Rate]]*0.3)+(Table1[[#This Row],[Fill Rate]]*0.2)+(Table1[[#This Row],[Cost Score]]*0.1)</f>
        <v>0.88884313181642594</v>
      </c>
      <c r="T151">
        <f>MAX(Table1[OTD])</f>
        <v>1</v>
      </c>
      <c r="U151" t="str">
        <f>IF(Table1[[#This Row],[Vendor Score]]&gt;=90%,"Excellent",IF(Table1[[#This Row],[Vendor Score]]&gt;=75%,"Moderate","Poor"))</f>
        <v>Moderate</v>
      </c>
    </row>
    <row r="152" spans="1:21" x14ac:dyDescent="0.35">
      <c r="A152" t="s">
        <v>474</v>
      </c>
      <c r="B152" t="s">
        <v>38</v>
      </c>
      <c r="C152" t="s">
        <v>39</v>
      </c>
      <c r="D152" t="s">
        <v>19</v>
      </c>
      <c r="E152" t="s">
        <v>15</v>
      </c>
      <c r="F152">
        <v>3341</v>
      </c>
      <c r="G152">
        <v>3101</v>
      </c>
      <c r="H152" s="1">
        <v>46360</v>
      </c>
      <c r="I152" s="1">
        <v>46360</v>
      </c>
      <c r="J152">
        <v>65</v>
      </c>
      <c r="K152">
        <v>53</v>
      </c>
      <c r="L152">
        <f t="shared" si="10"/>
        <v>0</v>
      </c>
      <c r="M152" s="6">
        <f t="shared" si="11"/>
        <v>1</v>
      </c>
      <c r="N152" s="6">
        <f t="shared" si="12"/>
        <v>0.9281652199940138</v>
      </c>
      <c r="O152" s="6">
        <f t="shared" si="13"/>
        <v>0.97903901967107387</v>
      </c>
      <c r="P152">
        <f t="shared" si="14"/>
        <v>164353</v>
      </c>
      <c r="Q152" s="6">
        <f>MIN(Table1[Unit Price])/Table1[[#This Row],[Unit Price]]</f>
        <v>9.4339622641509441E-2</v>
      </c>
      <c r="R152" s="8">
        <f>IF(Table1[[#This Row],[Delivery Delay]]&gt;0,1,0)</f>
        <v>0</v>
      </c>
      <c r="S152" s="6">
        <f>(Table1[[#This Row],[OTD]]*0.4)+(Table1[[#This Row],[Quality Rate]]*0.3)+(Table1[[#This Row],[Fill Rate]]*0.2)+(Table1[[#This Row],[Cost Score]]*0.1)</f>
        <v>0.88877871216427595</v>
      </c>
      <c r="T152">
        <f>MAX(Table1[OTD])</f>
        <v>1</v>
      </c>
      <c r="U152" t="str">
        <f>IF(Table1[[#This Row],[Vendor Score]]&gt;=90%,"Excellent",IF(Table1[[#This Row],[Vendor Score]]&gt;=75%,"Moderate","Poor"))</f>
        <v>Moderate</v>
      </c>
    </row>
    <row r="153" spans="1:21" x14ac:dyDescent="0.35">
      <c r="A153" t="s">
        <v>309</v>
      </c>
      <c r="B153" t="s">
        <v>30</v>
      </c>
      <c r="C153" t="s">
        <v>31</v>
      </c>
      <c r="D153" t="s">
        <v>33</v>
      </c>
      <c r="E153" t="s">
        <v>28</v>
      </c>
      <c r="F153">
        <v>4013</v>
      </c>
      <c r="G153">
        <v>3862</v>
      </c>
      <c r="H153" s="1">
        <v>46281</v>
      </c>
      <c r="I153" s="1">
        <v>46279</v>
      </c>
      <c r="J153">
        <v>120</v>
      </c>
      <c r="K153">
        <v>89</v>
      </c>
      <c r="L153">
        <f t="shared" si="10"/>
        <v>-2</v>
      </c>
      <c r="M153" s="6">
        <f t="shared" si="11"/>
        <v>1</v>
      </c>
      <c r="N153" s="6">
        <f t="shared" si="12"/>
        <v>0.96237229005731373</v>
      </c>
      <c r="O153" s="6">
        <f t="shared" si="13"/>
        <v>0.96892801657172445</v>
      </c>
      <c r="P153">
        <f t="shared" si="14"/>
        <v>343718</v>
      </c>
      <c r="Q153" s="6">
        <f>MIN(Table1[Unit Price])/Table1[[#This Row],[Unit Price]]</f>
        <v>5.6179775280898875E-2</v>
      </c>
      <c r="R153" s="8">
        <f>IF(Table1[[#This Row],[Delivery Delay]]&gt;0,1,0)</f>
        <v>0</v>
      </c>
      <c r="S153" s="6">
        <f>(Table1[[#This Row],[OTD]]*0.4)+(Table1[[#This Row],[Quality Rate]]*0.3)+(Table1[[#This Row],[Fill Rate]]*0.2)+(Table1[[#This Row],[Cost Score]]*0.1)</f>
        <v>0.88877084051107003</v>
      </c>
      <c r="T153">
        <f>MAX(Table1[OTD])</f>
        <v>1</v>
      </c>
      <c r="U153" t="str">
        <f>IF(Table1[[#This Row],[Vendor Score]]&gt;=90%,"Excellent",IF(Table1[[#This Row],[Vendor Score]]&gt;=75%,"Moderate","Poor"))</f>
        <v>Moderate</v>
      </c>
    </row>
    <row r="154" spans="1:21" x14ac:dyDescent="0.35">
      <c r="A154" t="s">
        <v>395</v>
      </c>
      <c r="B154" t="s">
        <v>30</v>
      </c>
      <c r="C154" t="s">
        <v>31</v>
      </c>
      <c r="D154" t="s">
        <v>19</v>
      </c>
      <c r="E154" t="s">
        <v>52</v>
      </c>
      <c r="F154">
        <v>4658</v>
      </c>
      <c r="G154">
        <v>4533</v>
      </c>
      <c r="H154" s="1">
        <v>46085</v>
      </c>
      <c r="I154" s="1">
        <v>46083</v>
      </c>
      <c r="J154">
        <v>138</v>
      </c>
      <c r="K154">
        <v>153</v>
      </c>
      <c r="L154">
        <f t="shared" si="10"/>
        <v>-2</v>
      </c>
      <c r="M154" s="6">
        <f t="shared" si="11"/>
        <v>1</v>
      </c>
      <c r="N154" s="6">
        <f t="shared" si="12"/>
        <v>0.97316444826105619</v>
      </c>
      <c r="O154" s="6">
        <f t="shared" si="13"/>
        <v>0.96955658504301789</v>
      </c>
      <c r="P154">
        <f t="shared" si="14"/>
        <v>693549</v>
      </c>
      <c r="Q154" s="6">
        <f>MIN(Table1[Unit Price])/Table1[[#This Row],[Unit Price]]</f>
        <v>3.2679738562091505E-2</v>
      </c>
      <c r="R154" s="8">
        <f>IF(Table1[[#This Row],[Delivery Delay]]&gt;0,1,0)</f>
        <v>0</v>
      </c>
      <c r="S154" s="6">
        <f>(Table1[[#This Row],[OTD]]*0.4)+(Table1[[#This Row],[Quality Rate]]*0.3)+(Table1[[#This Row],[Fill Rate]]*0.2)+(Table1[[#This Row],[Cost Score]]*0.1)</f>
        <v>0.88876783902132572</v>
      </c>
      <c r="T154">
        <f>MAX(Table1[OTD])</f>
        <v>1</v>
      </c>
      <c r="U154" t="str">
        <f>IF(Table1[[#This Row],[Vendor Score]]&gt;=90%,"Excellent",IF(Table1[[#This Row],[Vendor Score]]&gt;=75%,"Moderate","Poor"))</f>
        <v>Moderate</v>
      </c>
    </row>
    <row r="155" spans="1:21" x14ac:dyDescent="0.35">
      <c r="A155" t="s">
        <v>229</v>
      </c>
      <c r="B155" t="s">
        <v>17</v>
      </c>
      <c r="C155" t="s">
        <v>18</v>
      </c>
      <c r="D155" t="s">
        <v>55</v>
      </c>
      <c r="E155" t="s">
        <v>24</v>
      </c>
      <c r="F155">
        <v>1368</v>
      </c>
      <c r="G155">
        <v>1350</v>
      </c>
      <c r="H155" s="1">
        <v>46159</v>
      </c>
      <c r="I155" s="1">
        <v>46158</v>
      </c>
      <c r="J155">
        <v>59</v>
      </c>
      <c r="K155">
        <v>113</v>
      </c>
      <c r="L155">
        <f t="shared" si="10"/>
        <v>-1</v>
      </c>
      <c r="M155" s="6">
        <f t="shared" si="11"/>
        <v>1</v>
      </c>
      <c r="N155" s="6">
        <f t="shared" si="12"/>
        <v>0.98684210526315785</v>
      </c>
      <c r="O155" s="6">
        <f t="shared" si="13"/>
        <v>0.95629629629629631</v>
      </c>
      <c r="P155">
        <f t="shared" si="14"/>
        <v>152550</v>
      </c>
      <c r="Q155" s="6">
        <f>MIN(Table1[Unit Price])/Table1[[#This Row],[Unit Price]]</f>
        <v>4.4247787610619468E-2</v>
      </c>
      <c r="R155" s="8">
        <f>IF(Table1[[#This Row],[Delivery Delay]]&gt;0,1,0)</f>
        <v>0</v>
      </c>
      <c r="S155" s="6">
        <f>(Table1[[#This Row],[OTD]]*0.4)+(Table1[[#This Row],[Quality Rate]]*0.3)+(Table1[[#This Row],[Fill Rate]]*0.2)+(Table1[[#This Row],[Cost Score]]*0.1)</f>
        <v>0.88868208870258247</v>
      </c>
      <c r="T155">
        <f>MAX(Table1[OTD])</f>
        <v>1</v>
      </c>
      <c r="U155" t="str">
        <f>IF(Table1[[#This Row],[Vendor Score]]&gt;=90%,"Excellent",IF(Table1[[#This Row],[Vendor Score]]&gt;=75%,"Moderate","Poor"))</f>
        <v>Moderate</v>
      </c>
    </row>
    <row r="156" spans="1:21" x14ac:dyDescent="0.35">
      <c r="A156" t="s">
        <v>152</v>
      </c>
      <c r="B156" t="s">
        <v>38</v>
      </c>
      <c r="C156" t="s">
        <v>39</v>
      </c>
      <c r="D156" t="s">
        <v>33</v>
      </c>
      <c r="E156" t="s">
        <v>47</v>
      </c>
      <c r="F156">
        <v>2816</v>
      </c>
      <c r="G156">
        <v>2700</v>
      </c>
      <c r="H156" s="1">
        <v>46327</v>
      </c>
      <c r="I156" s="1">
        <v>46326</v>
      </c>
      <c r="J156">
        <v>55</v>
      </c>
      <c r="K156">
        <v>169</v>
      </c>
      <c r="L156">
        <f t="shared" si="10"/>
        <v>-1</v>
      </c>
      <c r="M156" s="6">
        <f t="shared" si="11"/>
        <v>1</v>
      </c>
      <c r="N156" s="6">
        <f t="shared" si="12"/>
        <v>0.95880681818181823</v>
      </c>
      <c r="O156" s="6">
        <f t="shared" si="13"/>
        <v>0.97962962962962963</v>
      </c>
      <c r="P156">
        <f t="shared" si="14"/>
        <v>456300</v>
      </c>
      <c r="Q156" s="6">
        <f>MIN(Table1[Unit Price])/Table1[[#This Row],[Unit Price]]</f>
        <v>2.9585798816568046E-2</v>
      </c>
      <c r="R156" s="8">
        <f>IF(Table1[[#This Row],[Delivery Delay]]&gt;0,1,0)</f>
        <v>0</v>
      </c>
      <c r="S156" s="6">
        <f>(Table1[[#This Row],[OTD]]*0.4)+(Table1[[#This Row],[Quality Rate]]*0.3)+(Table1[[#This Row],[Fill Rate]]*0.2)+(Table1[[#This Row],[Cost Score]]*0.1)</f>
        <v>0.88860883240690935</v>
      </c>
      <c r="T156">
        <f>MAX(Table1[OTD])</f>
        <v>1</v>
      </c>
      <c r="U156" t="str">
        <f>IF(Table1[[#This Row],[Vendor Score]]&gt;=90%,"Excellent",IF(Table1[[#This Row],[Vendor Score]]&gt;=75%,"Moderate","Poor"))</f>
        <v>Moderate</v>
      </c>
    </row>
    <row r="157" spans="1:21" x14ac:dyDescent="0.35">
      <c r="A157" t="s">
        <v>345</v>
      </c>
      <c r="B157" t="s">
        <v>38</v>
      </c>
      <c r="C157" t="s">
        <v>39</v>
      </c>
      <c r="D157" t="s">
        <v>19</v>
      </c>
      <c r="E157" t="s">
        <v>70</v>
      </c>
      <c r="F157">
        <v>1757</v>
      </c>
      <c r="G157">
        <v>1687</v>
      </c>
      <c r="H157" s="1">
        <v>46045</v>
      </c>
      <c r="I157" s="1">
        <v>46045</v>
      </c>
      <c r="J157">
        <v>38</v>
      </c>
      <c r="K157">
        <v>161</v>
      </c>
      <c r="L157">
        <f t="shared" si="10"/>
        <v>0</v>
      </c>
      <c r="M157" s="6">
        <f t="shared" si="11"/>
        <v>1</v>
      </c>
      <c r="N157" s="6">
        <f t="shared" si="12"/>
        <v>0.96015936254980083</v>
      </c>
      <c r="O157" s="6">
        <f t="shared" si="13"/>
        <v>0.97747480735032599</v>
      </c>
      <c r="P157">
        <f t="shared" si="14"/>
        <v>271607</v>
      </c>
      <c r="Q157" s="6">
        <f>MIN(Table1[Unit Price])/Table1[[#This Row],[Unit Price]]</f>
        <v>3.1055900621118012E-2</v>
      </c>
      <c r="R157" s="8">
        <f>IF(Table1[[#This Row],[Delivery Delay]]&gt;0,1,0)</f>
        <v>0</v>
      </c>
      <c r="S157" s="6">
        <f>(Table1[[#This Row],[OTD]]*0.4)+(Table1[[#This Row],[Quality Rate]]*0.3)+(Table1[[#This Row],[Fill Rate]]*0.2)+(Table1[[#This Row],[Cost Score]]*0.1)</f>
        <v>0.88837990477716966</v>
      </c>
      <c r="T157">
        <f>MAX(Table1[OTD])</f>
        <v>1</v>
      </c>
      <c r="U157" t="str">
        <f>IF(Table1[[#This Row],[Vendor Score]]&gt;=90%,"Excellent",IF(Table1[[#This Row],[Vendor Score]]&gt;=75%,"Moderate","Poor"))</f>
        <v>Moderate</v>
      </c>
    </row>
    <row r="158" spans="1:21" x14ac:dyDescent="0.35">
      <c r="A158" t="s">
        <v>141</v>
      </c>
      <c r="B158" t="s">
        <v>17</v>
      </c>
      <c r="C158" t="s">
        <v>18</v>
      </c>
      <c r="D158" t="s">
        <v>14</v>
      </c>
      <c r="E158" t="s">
        <v>70</v>
      </c>
      <c r="F158">
        <v>1871</v>
      </c>
      <c r="G158">
        <v>1856</v>
      </c>
      <c r="H158" s="1">
        <v>46047</v>
      </c>
      <c r="I158" s="1">
        <v>46047</v>
      </c>
      <c r="J158">
        <v>78</v>
      </c>
      <c r="K158">
        <v>214</v>
      </c>
      <c r="L158">
        <f t="shared" si="10"/>
        <v>0</v>
      </c>
      <c r="M158" s="6">
        <f t="shared" si="11"/>
        <v>1</v>
      </c>
      <c r="N158" s="6">
        <f t="shared" si="12"/>
        <v>0.99198289684660612</v>
      </c>
      <c r="O158" s="6">
        <f t="shared" si="13"/>
        <v>0.95797413793103448</v>
      </c>
      <c r="P158">
        <f t="shared" si="14"/>
        <v>397184</v>
      </c>
      <c r="Q158" s="6">
        <f>MIN(Table1[Unit Price])/Table1[[#This Row],[Unit Price]]</f>
        <v>2.336448598130841E-2</v>
      </c>
      <c r="R158" s="8">
        <f>IF(Table1[[#This Row],[Delivery Delay]]&gt;0,1,0)</f>
        <v>0</v>
      </c>
      <c r="S158" s="6">
        <f>(Table1[[#This Row],[OTD]]*0.4)+(Table1[[#This Row],[Quality Rate]]*0.3)+(Table1[[#This Row],[Fill Rate]]*0.2)+(Table1[[#This Row],[Cost Score]]*0.1)</f>
        <v>0.88812526934676239</v>
      </c>
      <c r="T158">
        <f>MAX(Table1[OTD])</f>
        <v>1</v>
      </c>
      <c r="U158" t="str">
        <f>IF(Table1[[#This Row],[Vendor Score]]&gt;=90%,"Excellent",IF(Table1[[#This Row],[Vendor Score]]&gt;=75%,"Moderate","Poor"))</f>
        <v>Moderate</v>
      </c>
    </row>
    <row r="159" spans="1:21" x14ac:dyDescent="0.35">
      <c r="A159" t="s">
        <v>525</v>
      </c>
      <c r="B159" t="s">
        <v>17</v>
      </c>
      <c r="C159" t="s">
        <v>18</v>
      </c>
      <c r="D159" t="s">
        <v>19</v>
      </c>
      <c r="E159" t="s">
        <v>20</v>
      </c>
      <c r="F159">
        <v>1151</v>
      </c>
      <c r="G159">
        <v>1140</v>
      </c>
      <c r="H159" s="1">
        <v>46222</v>
      </c>
      <c r="I159" s="1">
        <v>46221</v>
      </c>
      <c r="J159">
        <v>50</v>
      </c>
      <c r="K159">
        <v>165</v>
      </c>
      <c r="L159">
        <f t="shared" si="10"/>
        <v>-1</v>
      </c>
      <c r="M159" s="6">
        <f t="shared" si="11"/>
        <v>1</v>
      </c>
      <c r="N159" s="6">
        <f t="shared" si="12"/>
        <v>0.99044309296264121</v>
      </c>
      <c r="O159" s="6">
        <f t="shared" si="13"/>
        <v>0.95614035087719296</v>
      </c>
      <c r="P159">
        <f t="shared" si="14"/>
        <v>188100</v>
      </c>
      <c r="Q159" s="6">
        <f>MIN(Table1[Unit Price])/Table1[[#This Row],[Unit Price]]</f>
        <v>3.0303030303030304E-2</v>
      </c>
      <c r="R159" s="8">
        <f>IF(Table1[[#This Row],[Delivery Delay]]&gt;0,1,0)</f>
        <v>0</v>
      </c>
      <c r="S159" s="6">
        <f>(Table1[[#This Row],[OTD]]*0.4)+(Table1[[#This Row],[Quality Rate]]*0.3)+(Table1[[#This Row],[Fill Rate]]*0.2)+(Table1[[#This Row],[Cost Score]]*0.1)</f>
        <v>0.88796102688598921</v>
      </c>
      <c r="T159">
        <f>MAX(Table1[OTD])</f>
        <v>1</v>
      </c>
      <c r="U159" t="str">
        <f>IF(Table1[[#This Row],[Vendor Score]]&gt;=90%,"Excellent",IF(Table1[[#This Row],[Vendor Score]]&gt;=75%,"Moderate","Poor"))</f>
        <v>Moderate</v>
      </c>
    </row>
    <row r="160" spans="1:21" x14ac:dyDescent="0.35">
      <c r="A160" t="s">
        <v>36</v>
      </c>
      <c r="B160" t="s">
        <v>22</v>
      </c>
      <c r="C160" t="s">
        <v>23</v>
      </c>
      <c r="D160" t="s">
        <v>19</v>
      </c>
      <c r="E160" t="s">
        <v>34</v>
      </c>
      <c r="F160">
        <v>3527</v>
      </c>
      <c r="G160">
        <v>3401</v>
      </c>
      <c r="H160" s="1">
        <v>46180</v>
      </c>
      <c r="I160" s="1">
        <v>46178</v>
      </c>
      <c r="J160">
        <v>240</v>
      </c>
      <c r="K160">
        <v>31</v>
      </c>
      <c r="L160">
        <f t="shared" si="10"/>
        <v>-2</v>
      </c>
      <c r="M160" s="6">
        <f t="shared" si="11"/>
        <v>1</v>
      </c>
      <c r="N160" s="6">
        <f t="shared" si="12"/>
        <v>0.96427558831868443</v>
      </c>
      <c r="O160" s="6">
        <f t="shared" si="13"/>
        <v>0.92943251984710384</v>
      </c>
      <c r="P160">
        <f t="shared" si="14"/>
        <v>105431</v>
      </c>
      <c r="Q160" s="6">
        <f>MIN(Table1[Unit Price])/Table1[[#This Row],[Unit Price]]</f>
        <v>0.16129032258064516</v>
      </c>
      <c r="R160" s="8">
        <f>IF(Table1[[#This Row],[Delivery Delay]]&gt;0,1,0)</f>
        <v>0</v>
      </c>
      <c r="S160" s="6">
        <f>(Table1[[#This Row],[OTD]]*0.4)+(Table1[[#This Row],[Quality Rate]]*0.3)+(Table1[[#This Row],[Fill Rate]]*0.2)+(Table1[[#This Row],[Cost Score]]*0.1)</f>
        <v>0.88781390587593256</v>
      </c>
      <c r="T160">
        <f>MAX(Table1[OTD])</f>
        <v>1</v>
      </c>
      <c r="U160" t="str">
        <f>IF(Table1[[#This Row],[Vendor Score]]&gt;=90%,"Excellent",IF(Table1[[#This Row],[Vendor Score]]&gt;=75%,"Moderate","Poor"))</f>
        <v>Moderate</v>
      </c>
    </row>
    <row r="161" spans="1:21" x14ac:dyDescent="0.35">
      <c r="A161" t="s">
        <v>196</v>
      </c>
      <c r="B161" t="s">
        <v>78</v>
      </c>
      <c r="C161" t="s">
        <v>79</v>
      </c>
      <c r="D161" t="s">
        <v>14</v>
      </c>
      <c r="E161" t="s">
        <v>28</v>
      </c>
      <c r="F161">
        <v>4746</v>
      </c>
      <c r="G161">
        <v>4693</v>
      </c>
      <c r="H161" s="1">
        <v>46273</v>
      </c>
      <c r="I161" s="1">
        <v>46271</v>
      </c>
      <c r="J161">
        <v>236</v>
      </c>
      <c r="K161">
        <v>98</v>
      </c>
      <c r="L161">
        <f t="shared" si="10"/>
        <v>-2</v>
      </c>
      <c r="M161" s="6">
        <f t="shared" si="11"/>
        <v>1</v>
      </c>
      <c r="N161" s="6">
        <f t="shared" si="12"/>
        <v>0.98883270122208178</v>
      </c>
      <c r="O161" s="6">
        <f t="shared" si="13"/>
        <v>0.94971233752397188</v>
      </c>
      <c r="P161">
        <f t="shared" si="14"/>
        <v>459914</v>
      </c>
      <c r="Q161" s="6">
        <f>MIN(Table1[Unit Price])/Table1[[#This Row],[Unit Price]]</f>
        <v>5.1020408163265307E-2</v>
      </c>
      <c r="R161" s="8">
        <f>IF(Table1[[#This Row],[Delivery Delay]]&gt;0,1,0)</f>
        <v>0</v>
      </c>
      <c r="S161" s="6">
        <f>(Table1[[#This Row],[OTD]]*0.4)+(Table1[[#This Row],[Quality Rate]]*0.3)+(Table1[[#This Row],[Fill Rate]]*0.2)+(Table1[[#This Row],[Cost Score]]*0.1)</f>
        <v>0.88778228231793443</v>
      </c>
      <c r="T161">
        <f>MAX(Table1[OTD])</f>
        <v>1</v>
      </c>
      <c r="U161" t="str">
        <f>IF(Table1[[#This Row],[Vendor Score]]&gt;=90%,"Excellent",IF(Table1[[#This Row],[Vendor Score]]&gt;=75%,"Moderate","Poor"))</f>
        <v>Moderate</v>
      </c>
    </row>
    <row r="162" spans="1:21" x14ac:dyDescent="0.35">
      <c r="A162" t="s">
        <v>507</v>
      </c>
      <c r="B162" t="s">
        <v>38</v>
      </c>
      <c r="C162" t="s">
        <v>39</v>
      </c>
      <c r="D162" t="s">
        <v>14</v>
      </c>
      <c r="E162" t="s">
        <v>34</v>
      </c>
      <c r="F162">
        <v>3326</v>
      </c>
      <c r="G162">
        <v>3148</v>
      </c>
      <c r="H162" s="1">
        <v>46180</v>
      </c>
      <c r="I162" s="1">
        <v>46180</v>
      </c>
      <c r="J162">
        <v>67</v>
      </c>
      <c r="K162">
        <v>103</v>
      </c>
      <c r="L162">
        <f t="shared" si="10"/>
        <v>0</v>
      </c>
      <c r="M162" s="6">
        <f t="shared" si="11"/>
        <v>1</v>
      </c>
      <c r="N162" s="6">
        <f t="shared" si="12"/>
        <v>0.94648226097414312</v>
      </c>
      <c r="O162" s="6">
        <f t="shared" si="13"/>
        <v>0.97871664548919945</v>
      </c>
      <c r="P162">
        <f t="shared" si="14"/>
        <v>324244</v>
      </c>
      <c r="Q162" s="6">
        <f>MIN(Table1[Unit Price])/Table1[[#This Row],[Unit Price]]</f>
        <v>4.8543689320388349E-2</v>
      </c>
      <c r="R162" s="8">
        <f>IF(Table1[[#This Row],[Delivery Delay]]&gt;0,1,0)</f>
        <v>0</v>
      </c>
      <c r="S162" s="6">
        <f>(Table1[[#This Row],[OTD]]*0.4)+(Table1[[#This Row],[Quality Rate]]*0.3)+(Table1[[#This Row],[Fill Rate]]*0.2)+(Table1[[#This Row],[Cost Score]]*0.1)</f>
        <v>0.88776581477362726</v>
      </c>
      <c r="T162">
        <f>MAX(Table1[OTD])</f>
        <v>1</v>
      </c>
      <c r="U162" t="str">
        <f>IF(Table1[[#This Row],[Vendor Score]]&gt;=90%,"Excellent",IF(Table1[[#This Row],[Vendor Score]]&gt;=75%,"Moderate","Poor"))</f>
        <v>Moderate</v>
      </c>
    </row>
    <row r="163" spans="1:21" x14ac:dyDescent="0.35">
      <c r="A163" t="s">
        <v>193</v>
      </c>
      <c r="B163" t="s">
        <v>59</v>
      </c>
      <c r="C163" t="s">
        <v>60</v>
      </c>
      <c r="D163" t="s">
        <v>14</v>
      </c>
      <c r="E163" t="s">
        <v>57</v>
      </c>
      <c r="F163">
        <v>2017</v>
      </c>
      <c r="G163">
        <v>1956</v>
      </c>
      <c r="H163" s="1">
        <v>46302</v>
      </c>
      <c r="I163" s="1">
        <v>46300</v>
      </c>
      <c r="J163">
        <v>120</v>
      </c>
      <c r="K163">
        <v>41</v>
      </c>
      <c r="L163">
        <f t="shared" si="10"/>
        <v>-2</v>
      </c>
      <c r="M163" s="6">
        <f t="shared" si="11"/>
        <v>1</v>
      </c>
      <c r="N163" s="6">
        <f t="shared" si="12"/>
        <v>0.96975706494794245</v>
      </c>
      <c r="O163" s="6">
        <f t="shared" si="13"/>
        <v>0.93865030674846628</v>
      </c>
      <c r="P163">
        <f t="shared" si="14"/>
        <v>80196</v>
      </c>
      <c r="Q163" s="6">
        <f>MIN(Table1[Unit Price])/Table1[[#This Row],[Unit Price]]</f>
        <v>0.12195121951219512</v>
      </c>
      <c r="R163" s="8">
        <f>IF(Table1[[#This Row],[Delivery Delay]]&gt;0,1,0)</f>
        <v>0</v>
      </c>
      <c r="S163" s="6">
        <f>(Table1[[#This Row],[OTD]]*0.4)+(Table1[[#This Row],[Quality Rate]]*0.3)+(Table1[[#This Row],[Fill Rate]]*0.2)+(Table1[[#This Row],[Cost Score]]*0.1)</f>
        <v>0.88774162696534797</v>
      </c>
      <c r="T163">
        <f>MAX(Table1[OTD])</f>
        <v>1</v>
      </c>
      <c r="U163" t="str">
        <f>IF(Table1[[#This Row],[Vendor Score]]&gt;=90%,"Excellent",IF(Table1[[#This Row],[Vendor Score]]&gt;=75%,"Moderate","Poor"))</f>
        <v>Moderate</v>
      </c>
    </row>
    <row r="164" spans="1:21" x14ac:dyDescent="0.35">
      <c r="A164" t="s">
        <v>361</v>
      </c>
      <c r="B164" t="s">
        <v>42</v>
      </c>
      <c r="C164" t="s">
        <v>43</v>
      </c>
      <c r="D164" t="s">
        <v>14</v>
      </c>
      <c r="E164" t="s">
        <v>52</v>
      </c>
      <c r="F164">
        <v>4741</v>
      </c>
      <c r="G164">
        <v>4458</v>
      </c>
      <c r="H164" s="1">
        <v>46100</v>
      </c>
      <c r="I164" s="1">
        <v>46099</v>
      </c>
      <c r="J164">
        <v>45</v>
      </c>
      <c r="K164">
        <v>185</v>
      </c>
      <c r="L164">
        <f t="shared" si="10"/>
        <v>-1</v>
      </c>
      <c r="M164" s="6">
        <f t="shared" si="11"/>
        <v>1</v>
      </c>
      <c r="N164" s="6">
        <f t="shared" si="12"/>
        <v>0.94030795190887995</v>
      </c>
      <c r="O164" s="6">
        <f t="shared" si="13"/>
        <v>0.98990578734858681</v>
      </c>
      <c r="P164">
        <f t="shared" si="14"/>
        <v>824730</v>
      </c>
      <c r="Q164" s="6">
        <f>MIN(Table1[Unit Price])/Table1[[#This Row],[Unit Price]]</f>
        <v>2.7027027027027029E-2</v>
      </c>
      <c r="R164" s="8">
        <f>IF(Table1[[#This Row],[Delivery Delay]]&gt;0,1,0)</f>
        <v>0</v>
      </c>
      <c r="S164" s="6">
        <f>(Table1[[#This Row],[OTD]]*0.4)+(Table1[[#This Row],[Quality Rate]]*0.3)+(Table1[[#This Row],[Fill Rate]]*0.2)+(Table1[[#This Row],[Cost Score]]*0.1)</f>
        <v>0.8877360292890546</v>
      </c>
      <c r="T164">
        <f>MAX(Table1[OTD])</f>
        <v>1</v>
      </c>
      <c r="U164" t="str">
        <f>IF(Table1[[#This Row],[Vendor Score]]&gt;=90%,"Excellent",IF(Table1[[#This Row],[Vendor Score]]&gt;=75%,"Moderate","Poor"))</f>
        <v>Moderate</v>
      </c>
    </row>
    <row r="165" spans="1:21" x14ac:dyDescent="0.35">
      <c r="A165" t="s">
        <v>397</v>
      </c>
      <c r="B165" t="s">
        <v>26</v>
      </c>
      <c r="C165" t="s">
        <v>27</v>
      </c>
      <c r="D165" t="s">
        <v>55</v>
      </c>
      <c r="E165" t="s">
        <v>34</v>
      </c>
      <c r="F165">
        <v>3409</v>
      </c>
      <c r="G165">
        <v>3168</v>
      </c>
      <c r="H165" s="1">
        <v>46175</v>
      </c>
      <c r="I165" s="1">
        <v>46173</v>
      </c>
      <c r="J165">
        <v>36</v>
      </c>
      <c r="K165">
        <v>95</v>
      </c>
      <c r="L165">
        <f t="shared" si="10"/>
        <v>-2</v>
      </c>
      <c r="M165" s="6">
        <f t="shared" si="11"/>
        <v>1</v>
      </c>
      <c r="N165" s="6">
        <f t="shared" si="12"/>
        <v>0.92930478146083895</v>
      </c>
      <c r="O165" s="6">
        <f t="shared" si="13"/>
        <v>0.98863636363636365</v>
      </c>
      <c r="P165">
        <f t="shared" si="14"/>
        <v>300960</v>
      </c>
      <c r="Q165" s="6">
        <f>MIN(Table1[Unit Price])/Table1[[#This Row],[Unit Price]]</f>
        <v>5.2631578947368418E-2</v>
      </c>
      <c r="R165" s="8">
        <f>IF(Table1[[#This Row],[Delivery Delay]]&gt;0,1,0)</f>
        <v>0</v>
      </c>
      <c r="S165" s="6">
        <f>(Table1[[#This Row],[OTD]]*0.4)+(Table1[[#This Row],[Quality Rate]]*0.3)+(Table1[[#This Row],[Fill Rate]]*0.2)+(Table1[[#This Row],[Cost Score]]*0.1)</f>
        <v>0.88771502327781371</v>
      </c>
      <c r="T165">
        <f>MAX(Table1[OTD])</f>
        <v>1</v>
      </c>
      <c r="U165" t="str">
        <f>IF(Table1[[#This Row],[Vendor Score]]&gt;=90%,"Excellent",IF(Table1[[#This Row],[Vendor Score]]&gt;=75%,"Moderate","Poor"))</f>
        <v>Moderate</v>
      </c>
    </row>
    <row r="166" spans="1:21" x14ac:dyDescent="0.35">
      <c r="A166" t="s">
        <v>541</v>
      </c>
      <c r="B166" t="s">
        <v>42</v>
      </c>
      <c r="C166" t="s">
        <v>43</v>
      </c>
      <c r="D166" t="s">
        <v>19</v>
      </c>
      <c r="E166" t="s">
        <v>40</v>
      </c>
      <c r="F166">
        <v>2436</v>
      </c>
      <c r="G166">
        <v>2299</v>
      </c>
      <c r="H166" s="1">
        <v>46262</v>
      </c>
      <c r="I166" s="1">
        <v>46262</v>
      </c>
      <c r="J166">
        <v>26</v>
      </c>
      <c r="K166">
        <v>214</v>
      </c>
      <c r="L166">
        <f t="shared" si="10"/>
        <v>0</v>
      </c>
      <c r="M166" s="6">
        <f t="shared" si="11"/>
        <v>1</v>
      </c>
      <c r="N166" s="6">
        <f t="shared" si="12"/>
        <v>0.94376026272577995</v>
      </c>
      <c r="O166" s="6">
        <f t="shared" si="13"/>
        <v>0.98869073510221839</v>
      </c>
      <c r="P166">
        <f t="shared" si="14"/>
        <v>491986</v>
      </c>
      <c r="Q166" s="6">
        <f>MIN(Table1[Unit Price])/Table1[[#This Row],[Unit Price]]</f>
        <v>2.336448598130841E-2</v>
      </c>
      <c r="R166" s="8">
        <f>IF(Table1[[#This Row],[Delivery Delay]]&gt;0,1,0)</f>
        <v>0</v>
      </c>
      <c r="S166" s="6">
        <f>(Table1[[#This Row],[OTD]]*0.4)+(Table1[[#This Row],[Quality Rate]]*0.3)+(Table1[[#This Row],[Fill Rate]]*0.2)+(Table1[[#This Row],[Cost Score]]*0.1)</f>
        <v>0.88769572167395239</v>
      </c>
      <c r="T166">
        <f>MAX(Table1[OTD])</f>
        <v>1</v>
      </c>
      <c r="U166" t="str">
        <f>IF(Table1[[#This Row],[Vendor Score]]&gt;=90%,"Excellent",IF(Table1[[#This Row],[Vendor Score]]&gt;=75%,"Moderate","Poor"))</f>
        <v>Moderate</v>
      </c>
    </row>
    <row r="167" spans="1:21" x14ac:dyDescent="0.35">
      <c r="A167" t="s">
        <v>147</v>
      </c>
      <c r="B167" t="s">
        <v>38</v>
      </c>
      <c r="C167" t="s">
        <v>39</v>
      </c>
      <c r="D167" t="s">
        <v>55</v>
      </c>
      <c r="E167" t="s">
        <v>20</v>
      </c>
      <c r="F167">
        <v>4766</v>
      </c>
      <c r="G167">
        <v>4567</v>
      </c>
      <c r="H167" s="1">
        <v>46226</v>
      </c>
      <c r="I167" s="1">
        <v>46226</v>
      </c>
      <c r="J167">
        <v>95</v>
      </c>
      <c r="K167">
        <v>219</v>
      </c>
      <c r="L167">
        <f t="shared" si="10"/>
        <v>0</v>
      </c>
      <c r="M167" s="6">
        <f t="shared" si="11"/>
        <v>1</v>
      </c>
      <c r="N167" s="6">
        <f t="shared" si="12"/>
        <v>0.95824590851867397</v>
      </c>
      <c r="O167" s="6">
        <f t="shared" si="13"/>
        <v>0.97919859864243486</v>
      </c>
      <c r="P167">
        <f t="shared" si="14"/>
        <v>1000173</v>
      </c>
      <c r="Q167" s="6">
        <f>MIN(Table1[Unit Price])/Table1[[#This Row],[Unit Price]]</f>
        <v>2.2831050228310501E-2</v>
      </c>
      <c r="R167" s="8">
        <f>IF(Table1[[#This Row],[Delivery Delay]]&gt;0,1,0)</f>
        <v>0</v>
      </c>
      <c r="S167" s="6">
        <f>(Table1[[#This Row],[OTD]]*0.4)+(Table1[[#This Row],[Quality Rate]]*0.3)+(Table1[[#This Row],[Fill Rate]]*0.2)+(Table1[[#This Row],[Cost Score]]*0.1)</f>
        <v>0.88769186631929631</v>
      </c>
      <c r="T167">
        <f>MAX(Table1[OTD])</f>
        <v>1</v>
      </c>
      <c r="U167" t="str">
        <f>IF(Table1[[#This Row],[Vendor Score]]&gt;=90%,"Excellent",IF(Table1[[#This Row],[Vendor Score]]&gt;=75%,"Moderate","Poor"))</f>
        <v>Moderate</v>
      </c>
    </row>
    <row r="168" spans="1:21" x14ac:dyDescent="0.35">
      <c r="A168" t="s">
        <v>277</v>
      </c>
      <c r="B168" t="s">
        <v>17</v>
      </c>
      <c r="C168" t="s">
        <v>18</v>
      </c>
      <c r="D168" t="s">
        <v>14</v>
      </c>
      <c r="E168" t="s">
        <v>57</v>
      </c>
      <c r="F168">
        <v>3877</v>
      </c>
      <c r="G168">
        <v>3823</v>
      </c>
      <c r="H168" s="1">
        <v>46313</v>
      </c>
      <c r="I168" s="1">
        <v>46311</v>
      </c>
      <c r="J168">
        <v>158</v>
      </c>
      <c r="K168">
        <v>175</v>
      </c>
      <c r="L168">
        <f t="shared" si="10"/>
        <v>-2</v>
      </c>
      <c r="M168" s="6">
        <f t="shared" si="11"/>
        <v>1</v>
      </c>
      <c r="N168" s="6">
        <f t="shared" si="12"/>
        <v>0.98607170492648955</v>
      </c>
      <c r="O168" s="6">
        <f t="shared" si="13"/>
        <v>0.95867120062777922</v>
      </c>
      <c r="P168">
        <f t="shared" si="14"/>
        <v>669025</v>
      </c>
      <c r="Q168" s="6">
        <f>MIN(Table1[Unit Price])/Table1[[#This Row],[Unit Price]]</f>
        <v>2.8571428571428571E-2</v>
      </c>
      <c r="R168" s="8">
        <f>IF(Table1[[#This Row],[Delivery Delay]]&gt;0,1,0)</f>
        <v>0</v>
      </c>
      <c r="S168" s="6">
        <f>(Table1[[#This Row],[OTD]]*0.4)+(Table1[[#This Row],[Quality Rate]]*0.3)+(Table1[[#This Row],[Fill Rate]]*0.2)+(Table1[[#This Row],[Cost Score]]*0.1)</f>
        <v>0.88767284403077451</v>
      </c>
      <c r="T168">
        <f>MAX(Table1[OTD])</f>
        <v>1</v>
      </c>
      <c r="U168" t="str">
        <f>IF(Table1[[#This Row],[Vendor Score]]&gt;=90%,"Excellent",IF(Table1[[#This Row],[Vendor Score]]&gt;=75%,"Moderate","Poor"))</f>
        <v>Moderate</v>
      </c>
    </row>
    <row r="169" spans="1:21" x14ac:dyDescent="0.35">
      <c r="A169" t="s">
        <v>226</v>
      </c>
      <c r="B169" t="s">
        <v>42</v>
      </c>
      <c r="C169" t="s">
        <v>43</v>
      </c>
      <c r="D169" t="s">
        <v>33</v>
      </c>
      <c r="E169" t="s">
        <v>57</v>
      </c>
      <c r="F169">
        <v>379</v>
      </c>
      <c r="G169">
        <v>358</v>
      </c>
      <c r="H169" s="1">
        <v>46298</v>
      </c>
      <c r="I169" s="1">
        <v>46296</v>
      </c>
      <c r="J169">
        <v>6</v>
      </c>
      <c r="K169">
        <v>134</v>
      </c>
      <c r="L169">
        <f t="shared" si="10"/>
        <v>-2</v>
      </c>
      <c r="M169" s="6">
        <f t="shared" si="11"/>
        <v>1</v>
      </c>
      <c r="N169" s="6">
        <f t="shared" si="12"/>
        <v>0.9445910290237467</v>
      </c>
      <c r="O169" s="6">
        <f t="shared" si="13"/>
        <v>0.98324022346368711</v>
      </c>
      <c r="P169">
        <f t="shared" si="14"/>
        <v>47972</v>
      </c>
      <c r="Q169" s="6">
        <f>MIN(Table1[Unit Price])/Table1[[#This Row],[Unit Price]]</f>
        <v>3.7313432835820892E-2</v>
      </c>
      <c r="R169" s="8">
        <f>IF(Table1[[#This Row],[Delivery Delay]]&gt;0,1,0)</f>
        <v>0</v>
      </c>
      <c r="S169" s="6">
        <f>(Table1[[#This Row],[OTD]]*0.4)+(Table1[[#This Row],[Quality Rate]]*0.3)+(Table1[[#This Row],[Fill Rate]]*0.2)+(Table1[[#This Row],[Cost Score]]*0.1)</f>
        <v>0.88762161612743762</v>
      </c>
      <c r="T169">
        <f>MAX(Table1[OTD])</f>
        <v>1</v>
      </c>
      <c r="U169" t="str">
        <f>IF(Table1[[#This Row],[Vendor Score]]&gt;=90%,"Excellent",IF(Table1[[#This Row],[Vendor Score]]&gt;=75%,"Moderate","Poor"))</f>
        <v>Moderate</v>
      </c>
    </row>
    <row r="170" spans="1:21" x14ac:dyDescent="0.35">
      <c r="A170" t="s">
        <v>115</v>
      </c>
      <c r="B170" t="s">
        <v>38</v>
      </c>
      <c r="C170" t="s">
        <v>39</v>
      </c>
      <c r="D170" t="s">
        <v>33</v>
      </c>
      <c r="E170" t="s">
        <v>57</v>
      </c>
      <c r="F170">
        <v>2228</v>
      </c>
      <c r="G170">
        <v>2130</v>
      </c>
      <c r="H170" s="1">
        <v>46303</v>
      </c>
      <c r="I170" s="1">
        <v>46301</v>
      </c>
      <c r="J170">
        <v>43</v>
      </c>
      <c r="K170">
        <v>207</v>
      </c>
      <c r="L170">
        <f t="shared" si="10"/>
        <v>-2</v>
      </c>
      <c r="M170" s="6">
        <f t="shared" si="11"/>
        <v>1</v>
      </c>
      <c r="N170" s="6">
        <f t="shared" si="12"/>
        <v>0.95601436265709161</v>
      </c>
      <c r="O170" s="6">
        <f t="shared" si="13"/>
        <v>0.97981220657276991</v>
      </c>
      <c r="P170">
        <f t="shared" si="14"/>
        <v>440910</v>
      </c>
      <c r="Q170" s="6">
        <f>MIN(Table1[Unit Price])/Table1[[#This Row],[Unit Price]]</f>
        <v>2.4154589371980676E-2</v>
      </c>
      <c r="R170" s="8">
        <f>IF(Table1[[#This Row],[Delivery Delay]]&gt;0,1,0)</f>
        <v>0</v>
      </c>
      <c r="S170" s="6">
        <f>(Table1[[#This Row],[OTD]]*0.4)+(Table1[[#This Row],[Quality Rate]]*0.3)+(Table1[[#This Row],[Fill Rate]]*0.2)+(Table1[[#This Row],[Cost Score]]*0.1)</f>
        <v>0.88756199344044739</v>
      </c>
      <c r="T170">
        <f>MAX(Table1[OTD])</f>
        <v>1</v>
      </c>
      <c r="U170" t="str">
        <f>IF(Table1[[#This Row],[Vendor Score]]&gt;=90%,"Excellent",IF(Table1[[#This Row],[Vendor Score]]&gt;=75%,"Moderate","Poor"))</f>
        <v>Moderate</v>
      </c>
    </row>
    <row r="171" spans="1:21" x14ac:dyDescent="0.35">
      <c r="A171" t="s">
        <v>94</v>
      </c>
      <c r="B171" t="s">
        <v>30</v>
      </c>
      <c r="C171" t="s">
        <v>31</v>
      </c>
      <c r="D171" t="s">
        <v>55</v>
      </c>
      <c r="E171" t="s">
        <v>24</v>
      </c>
      <c r="F171">
        <v>3774</v>
      </c>
      <c r="G171">
        <v>3672</v>
      </c>
      <c r="H171" s="1">
        <v>46157</v>
      </c>
      <c r="I171" s="1">
        <v>46156</v>
      </c>
      <c r="J171">
        <v>112</v>
      </c>
      <c r="K171">
        <v>238</v>
      </c>
      <c r="L171">
        <f t="shared" si="10"/>
        <v>-1</v>
      </c>
      <c r="M171" s="6">
        <f t="shared" si="11"/>
        <v>1</v>
      </c>
      <c r="N171" s="6">
        <f t="shared" si="12"/>
        <v>0.97297297297297303</v>
      </c>
      <c r="O171" s="6">
        <f t="shared" si="13"/>
        <v>0.9694989106753813</v>
      </c>
      <c r="P171">
        <f t="shared" si="14"/>
        <v>873936</v>
      </c>
      <c r="Q171" s="6">
        <f>MIN(Table1[Unit Price])/Table1[[#This Row],[Unit Price]]</f>
        <v>2.100840336134454E-2</v>
      </c>
      <c r="R171" s="8">
        <f>IF(Table1[[#This Row],[Delivery Delay]]&gt;0,1,0)</f>
        <v>0</v>
      </c>
      <c r="S171" s="6">
        <f>(Table1[[#This Row],[OTD]]*0.4)+(Table1[[#This Row],[Quality Rate]]*0.3)+(Table1[[#This Row],[Fill Rate]]*0.2)+(Table1[[#This Row],[Cost Score]]*0.1)</f>
        <v>0.88754510813334342</v>
      </c>
      <c r="T171">
        <f>MAX(Table1[OTD])</f>
        <v>1</v>
      </c>
      <c r="U171" t="str">
        <f>IF(Table1[[#This Row],[Vendor Score]]&gt;=90%,"Excellent",IF(Table1[[#This Row],[Vendor Score]]&gt;=75%,"Moderate","Poor"))</f>
        <v>Moderate</v>
      </c>
    </row>
    <row r="172" spans="1:21" x14ac:dyDescent="0.35">
      <c r="A172" t="s">
        <v>346</v>
      </c>
      <c r="B172" t="s">
        <v>42</v>
      </c>
      <c r="C172" t="s">
        <v>43</v>
      </c>
      <c r="D172" t="s">
        <v>55</v>
      </c>
      <c r="E172" t="s">
        <v>20</v>
      </c>
      <c r="F172">
        <v>1307</v>
      </c>
      <c r="G172">
        <v>1237</v>
      </c>
      <c r="H172" s="1">
        <v>46204</v>
      </c>
      <c r="I172" s="1">
        <v>46202</v>
      </c>
      <c r="J172">
        <v>16</v>
      </c>
      <c r="K172">
        <v>234</v>
      </c>
      <c r="L172">
        <f t="shared" si="10"/>
        <v>-2</v>
      </c>
      <c r="M172" s="6">
        <f t="shared" si="11"/>
        <v>1</v>
      </c>
      <c r="N172" s="6">
        <f t="shared" si="12"/>
        <v>0.94644223412394801</v>
      </c>
      <c r="O172" s="6">
        <f t="shared" si="13"/>
        <v>0.98706548100242519</v>
      </c>
      <c r="P172">
        <f t="shared" si="14"/>
        <v>289458</v>
      </c>
      <c r="Q172" s="6">
        <f>MIN(Table1[Unit Price])/Table1[[#This Row],[Unit Price]]</f>
        <v>2.1367521367521368E-2</v>
      </c>
      <c r="R172" s="8">
        <f>IF(Table1[[#This Row],[Delivery Delay]]&gt;0,1,0)</f>
        <v>0</v>
      </c>
      <c r="S172" s="6">
        <f>(Table1[[#This Row],[OTD]]*0.4)+(Table1[[#This Row],[Quality Rate]]*0.3)+(Table1[[#This Row],[Fill Rate]]*0.2)+(Table1[[#This Row],[Cost Score]]*0.1)</f>
        <v>0.88754484326226935</v>
      </c>
      <c r="T172">
        <f>MAX(Table1[OTD])</f>
        <v>1</v>
      </c>
      <c r="U172" t="str">
        <f>IF(Table1[[#This Row],[Vendor Score]]&gt;=90%,"Excellent",IF(Table1[[#This Row],[Vendor Score]]&gt;=75%,"Moderate","Poor"))</f>
        <v>Moderate</v>
      </c>
    </row>
    <row r="173" spans="1:21" x14ac:dyDescent="0.35">
      <c r="A173" t="s">
        <v>543</v>
      </c>
      <c r="B173" t="s">
        <v>45</v>
      </c>
      <c r="C173" t="s">
        <v>46</v>
      </c>
      <c r="D173" t="s">
        <v>33</v>
      </c>
      <c r="E173" t="s">
        <v>24</v>
      </c>
      <c r="F173">
        <v>2601</v>
      </c>
      <c r="G173">
        <v>2484</v>
      </c>
      <c r="H173" s="1">
        <v>46151</v>
      </c>
      <c r="I173" s="1">
        <v>46151</v>
      </c>
      <c r="J173">
        <v>226</v>
      </c>
      <c r="K173">
        <v>21</v>
      </c>
      <c r="L173">
        <f t="shared" si="10"/>
        <v>0</v>
      </c>
      <c r="M173" s="6">
        <f t="shared" si="11"/>
        <v>1</v>
      </c>
      <c r="N173" s="6">
        <f t="shared" si="12"/>
        <v>0.95501730103806226</v>
      </c>
      <c r="O173" s="6">
        <f t="shared" si="13"/>
        <v>0.90901771336553949</v>
      </c>
      <c r="P173">
        <f t="shared" si="14"/>
        <v>52164</v>
      </c>
      <c r="Q173" s="6">
        <f>MIN(Table1[Unit Price])/Table1[[#This Row],[Unit Price]]</f>
        <v>0.23809523809523808</v>
      </c>
      <c r="R173" s="8">
        <f>IF(Table1[[#This Row],[Delivery Delay]]&gt;0,1,0)</f>
        <v>0</v>
      </c>
      <c r="S173" s="6">
        <f>(Table1[[#This Row],[OTD]]*0.4)+(Table1[[#This Row],[Quality Rate]]*0.3)+(Table1[[#This Row],[Fill Rate]]*0.2)+(Table1[[#This Row],[Cost Score]]*0.1)</f>
        <v>0.88751829802679827</v>
      </c>
      <c r="T173">
        <f>MAX(Table1[OTD])</f>
        <v>1</v>
      </c>
      <c r="U173" t="str">
        <f>IF(Table1[[#This Row],[Vendor Score]]&gt;=90%,"Excellent",IF(Table1[[#This Row],[Vendor Score]]&gt;=75%,"Moderate","Poor"))</f>
        <v>Moderate</v>
      </c>
    </row>
    <row r="174" spans="1:21" x14ac:dyDescent="0.35">
      <c r="A174" t="s">
        <v>359</v>
      </c>
      <c r="B174" t="s">
        <v>59</v>
      </c>
      <c r="C174" t="s">
        <v>60</v>
      </c>
      <c r="D174" t="s">
        <v>55</v>
      </c>
      <c r="E174" t="s">
        <v>15</v>
      </c>
      <c r="F174">
        <v>2266</v>
      </c>
      <c r="G174">
        <v>2244</v>
      </c>
      <c r="H174" s="1">
        <v>46357</v>
      </c>
      <c r="I174" s="1">
        <v>46355</v>
      </c>
      <c r="J174">
        <v>136</v>
      </c>
      <c r="K174">
        <v>66</v>
      </c>
      <c r="L174">
        <f t="shared" si="10"/>
        <v>-2</v>
      </c>
      <c r="M174" s="6">
        <f t="shared" si="11"/>
        <v>1</v>
      </c>
      <c r="N174" s="6">
        <f t="shared" si="12"/>
        <v>0.99029126213592233</v>
      </c>
      <c r="O174" s="6">
        <f t="shared" si="13"/>
        <v>0.93939393939393945</v>
      </c>
      <c r="P174">
        <f t="shared" si="14"/>
        <v>148104</v>
      </c>
      <c r="Q174" s="6">
        <f>MIN(Table1[Unit Price])/Table1[[#This Row],[Unit Price]]</f>
        <v>7.575757575757576E-2</v>
      </c>
      <c r="R174" s="8">
        <f>IF(Table1[[#This Row],[Delivery Delay]]&gt;0,1,0)</f>
        <v>0</v>
      </c>
      <c r="S174" s="6">
        <f>(Table1[[#This Row],[OTD]]*0.4)+(Table1[[#This Row],[Quality Rate]]*0.3)+(Table1[[#This Row],[Fill Rate]]*0.2)+(Table1[[#This Row],[Cost Score]]*0.1)</f>
        <v>0.88745219182112389</v>
      </c>
      <c r="T174">
        <f>MAX(Table1[OTD])</f>
        <v>1</v>
      </c>
      <c r="U174" t="str">
        <f>IF(Table1[[#This Row],[Vendor Score]]&gt;=90%,"Excellent",IF(Table1[[#This Row],[Vendor Score]]&gt;=75%,"Moderate","Poor"))</f>
        <v>Moderate</v>
      </c>
    </row>
    <row r="175" spans="1:21" x14ac:dyDescent="0.35">
      <c r="A175" t="s">
        <v>37</v>
      </c>
      <c r="B175" t="s">
        <v>38</v>
      </c>
      <c r="C175" t="s">
        <v>39</v>
      </c>
      <c r="D175" t="s">
        <v>14</v>
      </c>
      <c r="E175" t="s">
        <v>40</v>
      </c>
      <c r="F175">
        <v>1878</v>
      </c>
      <c r="G175">
        <v>1738</v>
      </c>
      <c r="H175" s="1">
        <v>46253</v>
      </c>
      <c r="I175" s="1">
        <v>46253</v>
      </c>
      <c r="J175">
        <v>40</v>
      </c>
      <c r="K175">
        <v>54</v>
      </c>
      <c r="L175">
        <f t="shared" si="10"/>
        <v>0</v>
      </c>
      <c r="M175" s="6">
        <f t="shared" si="11"/>
        <v>1</v>
      </c>
      <c r="N175" s="6">
        <f t="shared" si="12"/>
        <v>0.92545260915867944</v>
      </c>
      <c r="O175" s="6">
        <f t="shared" si="13"/>
        <v>0.97698504027617949</v>
      </c>
      <c r="P175">
        <f t="shared" si="14"/>
        <v>93852</v>
      </c>
      <c r="Q175" s="6">
        <f>MIN(Table1[Unit Price])/Table1[[#This Row],[Unit Price]]</f>
        <v>9.2592592592592587E-2</v>
      </c>
      <c r="R175" s="8">
        <f>IF(Table1[[#This Row],[Delivery Delay]]&gt;0,1,0)</f>
        <v>0</v>
      </c>
      <c r="S175" s="6">
        <f>(Table1[[#This Row],[OTD]]*0.4)+(Table1[[#This Row],[Quality Rate]]*0.3)+(Table1[[#This Row],[Fill Rate]]*0.2)+(Table1[[#This Row],[Cost Score]]*0.1)</f>
        <v>0.88744529317384913</v>
      </c>
      <c r="T175">
        <f>MAX(Table1[OTD])</f>
        <v>1</v>
      </c>
      <c r="U175" t="str">
        <f>IF(Table1[[#This Row],[Vendor Score]]&gt;=90%,"Excellent",IF(Table1[[#This Row],[Vendor Score]]&gt;=75%,"Moderate","Poor"))</f>
        <v>Moderate</v>
      </c>
    </row>
    <row r="176" spans="1:21" x14ac:dyDescent="0.35">
      <c r="A176" t="s">
        <v>437</v>
      </c>
      <c r="B176" t="s">
        <v>17</v>
      </c>
      <c r="C176" t="s">
        <v>18</v>
      </c>
      <c r="D176" t="s">
        <v>14</v>
      </c>
      <c r="E176" t="s">
        <v>28</v>
      </c>
      <c r="F176">
        <v>2529</v>
      </c>
      <c r="G176">
        <v>2406</v>
      </c>
      <c r="H176" s="1">
        <v>46288</v>
      </c>
      <c r="I176" s="1">
        <v>46288</v>
      </c>
      <c r="J176">
        <v>99</v>
      </c>
      <c r="K176">
        <v>53</v>
      </c>
      <c r="L176">
        <f t="shared" si="10"/>
        <v>0</v>
      </c>
      <c r="M176" s="6">
        <f t="shared" si="11"/>
        <v>1</v>
      </c>
      <c r="N176" s="6">
        <f t="shared" si="12"/>
        <v>0.95136417556346387</v>
      </c>
      <c r="O176" s="6">
        <f t="shared" si="13"/>
        <v>0.95885286783042389</v>
      </c>
      <c r="P176">
        <f t="shared" si="14"/>
        <v>127518</v>
      </c>
      <c r="Q176" s="6">
        <f>MIN(Table1[Unit Price])/Table1[[#This Row],[Unit Price]]</f>
        <v>9.4339622641509441E-2</v>
      </c>
      <c r="R176" s="8">
        <f>IF(Table1[[#This Row],[Delivery Delay]]&gt;0,1,0)</f>
        <v>0</v>
      </c>
      <c r="S176" s="6">
        <f>(Table1[[#This Row],[OTD]]*0.4)+(Table1[[#This Row],[Quality Rate]]*0.3)+(Table1[[#This Row],[Fill Rate]]*0.2)+(Table1[[#This Row],[Cost Score]]*0.1)</f>
        <v>0.88736265772597089</v>
      </c>
      <c r="T176">
        <f>MAX(Table1[OTD])</f>
        <v>1</v>
      </c>
      <c r="U176" t="str">
        <f>IF(Table1[[#This Row],[Vendor Score]]&gt;=90%,"Excellent",IF(Table1[[#This Row],[Vendor Score]]&gt;=75%,"Moderate","Poor"))</f>
        <v>Moderate</v>
      </c>
    </row>
    <row r="177" spans="1:21" x14ac:dyDescent="0.35">
      <c r="A177" t="s">
        <v>91</v>
      </c>
      <c r="B177" t="s">
        <v>59</v>
      </c>
      <c r="C177" t="s">
        <v>60</v>
      </c>
      <c r="D177" t="s">
        <v>19</v>
      </c>
      <c r="E177" t="s">
        <v>24</v>
      </c>
      <c r="F177">
        <v>4789</v>
      </c>
      <c r="G177">
        <v>4638</v>
      </c>
      <c r="H177" s="1">
        <v>46163</v>
      </c>
      <c r="I177" s="1">
        <v>46161</v>
      </c>
      <c r="J177">
        <v>284</v>
      </c>
      <c r="K177">
        <v>42</v>
      </c>
      <c r="L177">
        <f t="shared" si="10"/>
        <v>-2</v>
      </c>
      <c r="M177" s="6">
        <f t="shared" si="11"/>
        <v>1</v>
      </c>
      <c r="N177" s="6">
        <f t="shared" si="12"/>
        <v>0.96846940906243473</v>
      </c>
      <c r="O177" s="6">
        <f t="shared" si="13"/>
        <v>0.93876670978870203</v>
      </c>
      <c r="P177">
        <f t="shared" si="14"/>
        <v>194796</v>
      </c>
      <c r="Q177" s="6">
        <f>MIN(Table1[Unit Price])/Table1[[#This Row],[Unit Price]]</f>
        <v>0.11904761904761904</v>
      </c>
      <c r="R177" s="8">
        <f>IF(Table1[[#This Row],[Delivery Delay]]&gt;0,1,0)</f>
        <v>0</v>
      </c>
      <c r="S177" s="6">
        <f>(Table1[[#This Row],[OTD]]*0.4)+(Table1[[#This Row],[Quality Rate]]*0.3)+(Table1[[#This Row],[Fill Rate]]*0.2)+(Table1[[#This Row],[Cost Score]]*0.1)</f>
        <v>0.88722865665385942</v>
      </c>
      <c r="T177">
        <f>MAX(Table1[OTD])</f>
        <v>1</v>
      </c>
      <c r="U177" t="str">
        <f>IF(Table1[[#This Row],[Vendor Score]]&gt;=90%,"Excellent",IF(Table1[[#This Row],[Vendor Score]]&gt;=75%,"Moderate","Poor"))</f>
        <v>Moderate</v>
      </c>
    </row>
    <row r="178" spans="1:21" x14ac:dyDescent="0.35">
      <c r="A178" t="s">
        <v>215</v>
      </c>
      <c r="B178" t="s">
        <v>42</v>
      </c>
      <c r="C178" t="s">
        <v>43</v>
      </c>
      <c r="D178" t="s">
        <v>33</v>
      </c>
      <c r="E178" t="s">
        <v>96</v>
      </c>
      <c r="F178">
        <v>4806</v>
      </c>
      <c r="G178">
        <v>4506</v>
      </c>
      <c r="H178" s="1">
        <v>46140</v>
      </c>
      <c r="I178" s="1">
        <v>46139</v>
      </c>
      <c r="J178">
        <v>46</v>
      </c>
      <c r="K178">
        <v>183</v>
      </c>
      <c r="L178">
        <f t="shared" si="10"/>
        <v>-1</v>
      </c>
      <c r="M178" s="6">
        <f t="shared" si="11"/>
        <v>1</v>
      </c>
      <c r="N178" s="6">
        <f t="shared" si="12"/>
        <v>0.93757802746566787</v>
      </c>
      <c r="O178" s="6">
        <f t="shared" si="13"/>
        <v>0.98979138925876609</v>
      </c>
      <c r="P178">
        <f t="shared" si="14"/>
        <v>824598</v>
      </c>
      <c r="Q178" s="6">
        <f>MIN(Table1[Unit Price])/Table1[[#This Row],[Unit Price]]</f>
        <v>2.7322404371584699E-2</v>
      </c>
      <c r="R178" s="8">
        <f>IF(Table1[[#This Row],[Delivery Delay]]&gt;0,1,0)</f>
        <v>0</v>
      </c>
      <c r="S178" s="6">
        <f>(Table1[[#This Row],[OTD]]*0.4)+(Table1[[#This Row],[Quality Rate]]*0.3)+(Table1[[#This Row],[Fill Rate]]*0.2)+(Table1[[#This Row],[Cost Score]]*0.1)</f>
        <v>0.88718526270792197</v>
      </c>
      <c r="T178">
        <f>MAX(Table1[OTD])</f>
        <v>1</v>
      </c>
      <c r="U178" t="str">
        <f>IF(Table1[[#This Row],[Vendor Score]]&gt;=90%,"Excellent",IF(Table1[[#This Row],[Vendor Score]]&gt;=75%,"Moderate","Poor"))</f>
        <v>Moderate</v>
      </c>
    </row>
    <row r="179" spans="1:21" x14ac:dyDescent="0.35">
      <c r="A179" t="s">
        <v>76</v>
      </c>
      <c r="B179" t="s">
        <v>26</v>
      </c>
      <c r="C179" t="s">
        <v>27</v>
      </c>
      <c r="D179" t="s">
        <v>19</v>
      </c>
      <c r="E179" t="s">
        <v>57</v>
      </c>
      <c r="F179">
        <v>1511</v>
      </c>
      <c r="G179">
        <v>1406</v>
      </c>
      <c r="H179" s="1">
        <v>46301</v>
      </c>
      <c r="I179" s="1">
        <v>46301</v>
      </c>
      <c r="J179">
        <v>16</v>
      </c>
      <c r="K179">
        <v>117</v>
      </c>
      <c r="L179">
        <f t="shared" si="10"/>
        <v>0</v>
      </c>
      <c r="M179" s="6">
        <f t="shared" si="11"/>
        <v>1</v>
      </c>
      <c r="N179" s="6">
        <f t="shared" si="12"/>
        <v>0.93050959629384511</v>
      </c>
      <c r="O179" s="6">
        <f t="shared" si="13"/>
        <v>0.98862019914651489</v>
      </c>
      <c r="P179">
        <f t="shared" si="14"/>
        <v>164502</v>
      </c>
      <c r="Q179" s="6">
        <f>MIN(Table1[Unit Price])/Table1[[#This Row],[Unit Price]]</f>
        <v>4.2735042735042736E-2</v>
      </c>
      <c r="R179" s="8">
        <f>IF(Table1[[#This Row],[Delivery Delay]]&gt;0,1,0)</f>
        <v>0</v>
      </c>
      <c r="S179" s="6">
        <f>(Table1[[#This Row],[OTD]]*0.4)+(Table1[[#This Row],[Quality Rate]]*0.3)+(Table1[[#This Row],[Fill Rate]]*0.2)+(Table1[[#This Row],[Cost Score]]*0.1)</f>
        <v>0.88696148327622781</v>
      </c>
      <c r="T179">
        <f>MAX(Table1[OTD])</f>
        <v>1</v>
      </c>
      <c r="U179" t="str">
        <f>IF(Table1[[#This Row],[Vendor Score]]&gt;=90%,"Excellent",IF(Table1[[#This Row],[Vendor Score]]&gt;=75%,"Moderate","Poor"))</f>
        <v>Moderate</v>
      </c>
    </row>
    <row r="180" spans="1:21" x14ac:dyDescent="0.35">
      <c r="A180" t="s">
        <v>117</v>
      </c>
      <c r="B180" t="s">
        <v>17</v>
      </c>
      <c r="C180" t="s">
        <v>18</v>
      </c>
      <c r="D180" t="s">
        <v>55</v>
      </c>
      <c r="E180" t="s">
        <v>24</v>
      </c>
      <c r="F180">
        <v>1979</v>
      </c>
      <c r="G180">
        <v>1912</v>
      </c>
      <c r="H180" s="1">
        <v>46148</v>
      </c>
      <c r="I180" s="1">
        <v>46147</v>
      </c>
      <c r="J180">
        <v>82</v>
      </c>
      <c r="K180">
        <v>76</v>
      </c>
      <c r="L180">
        <f t="shared" si="10"/>
        <v>-1</v>
      </c>
      <c r="M180" s="6">
        <f t="shared" si="11"/>
        <v>1</v>
      </c>
      <c r="N180" s="6">
        <f t="shared" si="12"/>
        <v>0.96614451743304697</v>
      </c>
      <c r="O180" s="6">
        <f t="shared" si="13"/>
        <v>0.95711297071129708</v>
      </c>
      <c r="P180">
        <f t="shared" si="14"/>
        <v>145312</v>
      </c>
      <c r="Q180" s="6">
        <f>MIN(Table1[Unit Price])/Table1[[#This Row],[Unit Price]]</f>
        <v>6.5789473684210523E-2</v>
      </c>
      <c r="R180" s="8">
        <f>IF(Table1[[#This Row],[Delivery Delay]]&gt;0,1,0)</f>
        <v>0</v>
      </c>
      <c r="S180" s="6">
        <f>(Table1[[#This Row],[OTD]]*0.4)+(Table1[[#This Row],[Quality Rate]]*0.3)+(Table1[[#This Row],[Fill Rate]]*0.2)+(Table1[[#This Row],[Cost Score]]*0.1)</f>
        <v>0.88694174206841947</v>
      </c>
      <c r="T180">
        <f>MAX(Table1[OTD])</f>
        <v>1</v>
      </c>
      <c r="U180" t="str">
        <f>IF(Table1[[#This Row],[Vendor Score]]&gt;=90%,"Excellent",IF(Table1[[#This Row],[Vendor Score]]&gt;=75%,"Moderate","Poor"))</f>
        <v>Moderate</v>
      </c>
    </row>
    <row r="181" spans="1:21" x14ac:dyDescent="0.35">
      <c r="A181" t="s">
        <v>468</v>
      </c>
      <c r="B181" t="s">
        <v>78</v>
      </c>
      <c r="C181" t="s">
        <v>79</v>
      </c>
      <c r="D181" t="s">
        <v>19</v>
      </c>
      <c r="E181" t="s">
        <v>20</v>
      </c>
      <c r="F181">
        <v>3646</v>
      </c>
      <c r="G181">
        <v>3558</v>
      </c>
      <c r="H181" s="1">
        <v>46206</v>
      </c>
      <c r="I181" s="1">
        <v>46205</v>
      </c>
      <c r="J181">
        <v>182</v>
      </c>
      <c r="K181">
        <v>71</v>
      </c>
      <c r="L181">
        <f t="shared" si="10"/>
        <v>-1</v>
      </c>
      <c r="M181" s="6">
        <f t="shared" si="11"/>
        <v>1</v>
      </c>
      <c r="N181" s="6">
        <f t="shared" si="12"/>
        <v>0.97586396050466262</v>
      </c>
      <c r="O181" s="6">
        <f t="shared" si="13"/>
        <v>0.94884766722878022</v>
      </c>
      <c r="P181">
        <f t="shared" si="14"/>
        <v>252618</v>
      </c>
      <c r="Q181" s="6">
        <f>MIN(Table1[Unit Price])/Table1[[#This Row],[Unit Price]]</f>
        <v>7.0422535211267609E-2</v>
      </c>
      <c r="R181" s="8">
        <f>IF(Table1[[#This Row],[Delivery Delay]]&gt;0,1,0)</f>
        <v>0</v>
      </c>
      <c r="S181" s="6">
        <f>(Table1[[#This Row],[OTD]]*0.4)+(Table1[[#This Row],[Quality Rate]]*0.3)+(Table1[[#This Row],[Fill Rate]]*0.2)+(Table1[[#This Row],[Cost Score]]*0.1)</f>
        <v>0.88686934579069332</v>
      </c>
      <c r="T181">
        <f>MAX(Table1[OTD])</f>
        <v>1</v>
      </c>
      <c r="U181" t="str">
        <f>IF(Table1[[#This Row],[Vendor Score]]&gt;=90%,"Excellent",IF(Table1[[#This Row],[Vendor Score]]&gt;=75%,"Moderate","Poor"))</f>
        <v>Moderate</v>
      </c>
    </row>
    <row r="182" spans="1:21" x14ac:dyDescent="0.35">
      <c r="A182" t="s">
        <v>337</v>
      </c>
      <c r="B182" t="s">
        <v>17</v>
      </c>
      <c r="C182" t="s">
        <v>18</v>
      </c>
      <c r="D182" t="s">
        <v>19</v>
      </c>
      <c r="E182" t="s">
        <v>96</v>
      </c>
      <c r="F182">
        <v>518</v>
      </c>
      <c r="G182">
        <v>512</v>
      </c>
      <c r="H182" s="1">
        <v>46114</v>
      </c>
      <c r="I182" s="1">
        <v>46114</v>
      </c>
      <c r="J182">
        <v>23</v>
      </c>
      <c r="K182">
        <v>189</v>
      </c>
      <c r="L182">
        <f t="shared" si="10"/>
        <v>0</v>
      </c>
      <c r="M182" s="6">
        <f t="shared" si="11"/>
        <v>1</v>
      </c>
      <c r="N182" s="6">
        <f t="shared" si="12"/>
        <v>0.98841698841698844</v>
      </c>
      <c r="O182" s="6">
        <f t="shared" si="13"/>
        <v>0.955078125</v>
      </c>
      <c r="P182">
        <f t="shared" si="14"/>
        <v>96768</v>
      </c>
      <c r="Q182" s="6">
        <f>MIN(Table1[Unit Price])/Table1[[#This Row],[Unit Price]]</f>
        <v>2.6455026455026454E-2</v>
      </c>
      <c r="R182" s="8">
        <f>IF(Table1[[#This Row],[Delivery Delay]]&gt;0,1,0)</f>
        <v>0</v>
      </c>
      <c r="S182" s="6">
        <f>(Table1[[#This Row],[OTD]]*0.4)+(Table1[[#This Row],[Quality Rate]]*0.3)+(Table1[[#This Row],[Fill Rate]]*0.2)+(Table1[[#This Row],[Cost Score]]*0.1)</f>
        <v>0.88685233782890038</v>
      </c>
      <c r="T182">
        <f>MAX(Table1[OTD])</f>
        <v>1</v>
      </c>
      <c r="U182" t="str">
        <f>IF(Table1[[#This Row],[Vendor Score]]&gt;=90%,"Excellent",IF(Table1[[#This Row],[Vendor Score]]&gt;=75%,"Moderate","Poor"))</f>
        <v>Moderate</v>
      </c>
    </row>
    <row r="183" spans="1:21" x14ac:dyDescent="0.35">
      <c r="A183" t="s">
        <v>546</v>
      </c>
      <c r="B183" t="s">
        <v>78</v>
      </c>
      <c r="C183" t="s">
        <v>79</v>
      </c>
      <c r="D183" t="s">
        <v>55</v>
      </c>
      <c r="E183" t="s">
        <v>47</v>
      </c>
      <c r="F183">
        <v>2857</v>
      </c>
      <c r="G183">
        <v>2822</v>
      </c>
      <c r="H183" s="1">
        <v>46344</v>
      </c>
      <c r="I183" s="1">
        <v>46342</v>
      </c>
      <c r="J183">
        <v>146</v>
      </c>
      <c r="K183">
        <v>104</v>
      </c>
      <c r="L183">
        <f t="shared" si="10"/>
        <v>-2</v>
      </c>
      <c r="M183" s="6">
        <f t="shared" si="11"/>
        <v>1</v>
      </c>
      <c r="N183" s="6">
        <f t="shared" si="12"/>
        <v>0.98774938746937346</v>
      </c>
      <c r="O183" s="6">
        <f t="shared" si="13"/>
        <v>0.9482636428065202</v>
      </c>
      <c r="P183">
        <f t="shared" si="14"/>
        <v>293488</v>
      </c>
      <c r="Q183" s="6">
        <f>MIN(Table1[Unit Price])/Table1[[#This Row],[Unit Price]]</f>
        <v>4.807692307692308E-2</v>
      </c>
      <c r="R183" s="8">
        <f>IF(Table1[[#This Row],[Delivery Delay]]&gt;0,1,0)</f>
        <v>0</v>
      </c>
      <c r="S183" s="6">
        <f>(Table1[[#This Row],[OTD]]*0.4)+(Table1[[#This Row],[Quality Rate]]*0.3)+(Table1[[#This Row],[Fill Rate]]*0.2)+(Table1[[#This Row],[Cost Score]]*0.1)</f>
        <v>0.88683666264352312</v>
      </c>
      <c r="T183">
        <f>MAX(Table1[OTD])</f>
        <v>1</v>
      </c>
      <c r="U183" t="str">
        <f>IF(Table1[[#This Row],[Vendor Score]]&gt;=90%,"Excellent",IF(Table1[[#This Row],[Vendor Score]]&gt;=75%,"Moderate","Poor"))</f>
        <v>Moderate</v>
      </c>
    </row>
    <row r="184" spans="1:21" x14ac:dyDescent="0.35">
      <c r="A184" t="s">
        <v>510</v>
      </c>
      <c r="B184" t="s">
        <v>78</v>
      </c>
      <c r="C184" t="s">
        <v>79</v>
      </c>
      <c r="D184" t="s">
        <v>33</v>
      </c>
      <c r="E184" t="s">
        <v>96</v>
      </c>
      <c r="F184">
        <v>973</v>
      </c>
      <c r="G184">
        <v>918</v>
      </c>
      <c r="H184" s="1">
        <v>46127</v>
      </c>
      <c r="I184" s="1">
        <v>46127</v>
      </c>
      <c r="J184">
        <v>51</v>
      </c>
      <c r="K184">
        <v>34</v>
      </c>
      <c r="L184">
        <f t="shared" si="10"/>
        <v>0</v>
      </c>
      <c r="M184" s="6">
        <f t="shared" si="11"/>
        <v>1</v>
      </c>
      <c r="N184" s="6">
        <f t="shared" si="12"/>
        <v>0.94347379239465567</v>
      </c>
      <c r="O184" s="6">
        <f t="shared" si="13"/>
        <v>0.94444444444444442</v>
      </c>
      <c r="P184">
        <f t="shared" si="14"/>
        <v>31212</v>
      </c>
      <c r="Q184" s="6">
        <f>MIN(Table1[Unit Price])/Table1[[#This Row],[Unit Price]]</f>
        <v>0.14705882352941177</v>
      </c>
      <c r="R184" s="8">
        <f>IF(Table1[[#This Row],[Delivery Delay]]&gt;0,1,0)</f>
        <v>0</v>
      </c>
      <c r="S184" s="6">
        <f>(Table1[[#This Row],[OTD]]*0.4)+(Table1[[#This Row],[Quality Rate]]*0.3)+(Table1[[#This Row],[Fill Rate]]*0.2)+(Table1[[#This Row],[Cost Score]]*0.1)</f>
        <v>0.88673397416520561</v>
      </c>
      <c r="T184">
        <f>MAX(Table1[OTD])</f>
        <v>1</v>
      </c>
      <c r="U184" t="str">
        <f>IF(Table1[[#This Row],[Vendor Score]]&gt;=90%,"Excellent",IF(Table1[[#This Row],[Vendor Score]]&gt;=75%,"Moderate","Poor"))</f>
        <v>Moderate</v>
      </c>
    </row>
    <row r="185" spans="1:21" x14ac:dyDescent="0.35">
      <c r="A185" t="s">
        <v>280</v>
      </c>
      <c r="B185" t="s">
        <v>38</v>
      </c>
      <c r="C185" t="s">
        <v>39</v>
      </c>
      <c r="D185" t="s">
        <v>55</v>
      </c>
      <c r="E185" t="s">
        <v>34</v>
      </c>
      <c r="F185">
        <v>4267</v>
      </c>
      <c r="G185">
        <v>3980</v>
      </c>
      <c r="H185" s="1">
        <v>46192</v>
      </c>
      <c r="I185" s="1">
        <v>46191</v>
      </c>
      <c r="J185">
        <v>81</v>
      </c>
      <c r="K185">
        <v>80</v>
      </c>
      <c r="L185">
        <f t="shared" si="10"/>
        <v>-1</v>
      </c>
      <c r="M185" s="6">
        <f t="shared" si="11"/>
        <v>1</v>
      </c>
      <c r="N185" s="6">
        <f t="shared" si="12"/>
        <v>0.93273962971642843</v>
      </c>
      <c r="O185" s="6">
        <f t="shared" si="13"/>
        <v>0.97964824120603011</v>
      </c>
      <c r="P185">
        <f t="shared" si="14"/>
        <v>318400</v>
      </c>
      <c r="Q185" s="6">
        <f>MIN(Table1[Unit Price])/Table1[[#This Row],[Unit Price]]</f>
        <v>6.25E-2</v>
      </c>
      <c r="R185" s="8">
        <f>IF(Table1[[#This Row],[Delivery Delay]]&gt;0,1,0)</f>
        <v>0</v>
      </c>
      <c r="S185" s="6">
        <f>(Table1[[#This Row],[OTD]]*0.4)+(Table1[[#This Row],[Quality Rate]]*0.3)+(Table1[[#This Row],[Fill Rate]]*0.2)+(Table1[[#This Row],[Cost Score]]*0.1)</f>
        <v>0.88669239830509472</v>
      </c>
      <c r="T185">
        <f>MAX(Table1[OTD])</f>
        <v>1</v>
      </c>
      <c r="U185" t="str">
        <f>IF(Table1[[#This Row],[Vendor Score]]&gt;=90%,"Excellent",IF(Table1[[#This Row],[Vendor Score]]&gt;=75%,"Moderate","Poor"))</f>
        <v>Moderate</v>
      </c>
    </row>
    <row r="186" spans="1:21" x14ac:dyDescent="0.35">
      <c r="A186" t="s">
        <v>412</v>
      </c>
      <c r="B186" t="s">
        <v>30</v>
      </c>
      <c r="C186" t="s">
        <v>31</v>
      </c>
      <c r="D186" t="s">
        <v>14</v>
      </c>
      <c r="E186" t="s">
        <v>24</v>
      </c>
      <c r="F186">
        <v>971</v>
      </c>
      <c r="G186">
        <v>936</v>
      </c>
      <c r="H186" s="1">
        <v>46143</v>
      </c>
      <c r="I186" s="1">
        <v>46141</v>
      </c>
      <c r="J186">
        <v>29</v>
      </c>
      <c r="K186">
        <v>158</v>
      </c>
      <c r="L186">
        <f t="shared" si="10"/>
        <v>-2</v>
      </c>
      <c r="M186" s="6">
        <f t="shared" si="11"/>
        <v>1</v>
      </c>
      <c r="N186" s="6">
        <f t="shared" si="12"/>
        <v>0.96395468589083422</v>
      </c>
      <c r="O186" s="6">
        <f t="shared" si="13"/>
        <v>0.96901709401709402</v>
      </c>
      <c r="P186">
        <f t="shared" si="14"/>
        <v>147888</v>
      </c>
      <c r="Q186" s="6">
        <f>MIN(Table1[Unit Price])/Table1[[#This Row],[Unit Price]]</f>
        <v>3.1645569620253167E-2</v>
      </c>
      <c r="R186" s="8">
        <f>IF(Table1[[#This Row],[Delivery Delay]]&gt;0,1,0)</f>
        <v>0</v>
      </c>
      <c r="S186" s="6">
        <f>(Table1[[#This Row],[OTD]]*0.4)+(Table1[[#This Row],[Quality Rate]]*0.3)+(Table1[[#This Row],[Fill Rate]]*0.2)+(Table1[[#This Row],[Cost Score]]*0.1)</f>
        <v>0.88666062234532039</v>
      </c>
      <c r="T186">
        <f>MAX(Table1[OTD])</f>
        <v>1</v>
      </c>
      <c r="U186" t="str">
        <f>IF(Table1[[#This Row],[Vendor Score]]&gt;=90%,"Excellent",IF(Table1[[#This Row],[Vendor Score]]&gt;=75%,"Moderate","Poor"))</f>
        <v>Moderate</v>
      </c>
    </row>
    <row r="187" spans="1:21" x14ac:dyDescent="0.35">
      <c r="A187" t="s">
        <v>390</v>
      </c>
      <c r="B187" t="s">
        <v>22</v>
      </c>
      <c r="C187" t="s">
        <v>23</v>
      </c>
      <c r="D187" t="s">
        <v>19</v>
      </c>
      <c r="E187" t="s">
        <v>28</v>
      </c>
      <c r="F187">
        <v>3420</v>
      </c>
      <c r="G187">
        <v>3271</v>
      </c>
      <c r="H187" s="1">
        <v>46284</v>
      </c>
      <c r="I187" s="1">
        <v>46284</v>
      </c>
      <c r="J187">
        <v>233</v>
      </c>
      <c r="K187">
        <v>30</v>
      </c>
      <c r="L187">
        <f t="shared" si="10"/>
        <v>0</v>
      </c>
      <c r="M187" s="6">
        <f t="shared" si="11"/>
        <v>1</v>
      </c>
      <c r="N187" s="6">
        <f t="shared" si="12"/>
        <v>0.95643274853801175</v>
      </c>
      <c r="O187" s="6">
        <f t="shared" si="13"/>
        <v>0.92876796086823599</v>
      </c>
      <c r="P187">
        <f t="shared" si="14"/>
        <v>98130</v>
      </c>
      <c r="Q187" s="6">
        <f>MIN(Table1[Unit Price])/Table1[[#This Row],[Unit Price]]</f>
        <v>0.16666666666666666</v>
      </c>
      <c r="R187" s="8">
        <f>IF(Table1[[#This Row],[Delivery Delay]]&gt;0,1,0)</f>
        <v>0</v>
      </c>
      <c r="S187" s="6">
        <f>(Table1[[#This Row],[OTD]]*0.4)+(Table1[[#This Row],[Quality Rate]]*0.3)+(Table1[[#This Row],[Fill Rate]]*0.2)+(Table1[[#This Row],[Cost Score]]*0.1)</f>
        <v>0.88658360463473984</v>
      </c>
      <c r="T187">
        <f>MAX(Table1[OTD])</f>
        <v>1</v>
      </c>
      <c r="U187" t="str">
        <f>IF(Table1[[#This Row],[Vendor Score]]&gt;=90%,"Excellent",IF(Table1[[#This Row],[Vendor Score]]&gt;=75%,"Moderate","Poor"))</f>
        <v>Moderate</v>
      </c>
    </row>
    <row r="188" spans="1:21" x14ac:dyDescent="0.35">
      <c r="A188" t="s">
        <v>161</v>
      </c>
      <c r="B188" t="s">
        <v>42</v>
      </c>
      <c r="C188" t="s">
        <v>43</v>
      </c>
      <c r="D188" t="s">
        <v>14</v>
      </c>
      <c r="E188" t="s">
        <v>15</v>
      </c>
      <c r="F188">
        <v>3779</v>
      </c>
      <c r="G188">
        <v>3546</v>
      </c>
      <c r="H188" s="1">
        <v>46357</v>
      </c>
      <c r="I188" s="1">
        <v>46356</v>
      </c>
      <c r="J188">
        <v>41</v>
      </c>
      <c r="K188">
        <v>213</v>
      </c>
      <c r="L188">
        <f t="shared" si="10"/>
        <v>-1</v>
      </c>
      <c r="M188" s="6">
        <f t="shared" si="11"/>
        <v>1</v>
      </c>
      <c r="N188" s="6">
        <f t="shared" si="12"/>
        <v>0.9383434771103466</v>
      </c>
      <c r="O188" s="6">
        <f t="shared" si="13"/>
        <v>0.98843767625493517</v>
      </c>
      <c r="P188">
        <f t="shared" si="14"/>
        <v>755298</v>
      </c>
      <c r="Q188" s="6">
        <f>MIN(Table1[Unit Price])/Table1[[#This Row],[Unit Price]]</f>
        <v>2.3474178403755867E-2</v>
      </c>
      <c r="R188" s="8">
        <f>IF(Table1[[#This Row],[Delivery Delay]]&gt;0,1,0)</f>
        <v>0</v>
      </c>
      <c r="S188" s="6">
        <f>(Table1[[#This Row],[OTD]]*0.4)+(Table1[[#This Row],[Quality Rate]]*0.3)+(Table1[[#This Row],[Fill Rate]]*0.2)+(Table1[[#This Row],[Cost Score]]*0.1)</f>
        <v>0.88654741613892551</v>
      </c>
      <c r="T188">
        <f>MAX(Table1[OTD])</f>
        <v>1</v>
      </c>
      <c r="U188" t="str">
        <f>IF(Table1[[#This Row],[Vendor Score]]&gt;=90%,"Excellent",IF(Table1[[#This Row],[Vendor Score]]&gt;=75%,"Moderate","Poor"))</f>
        <v>Moderate</v>
      </c>
    </row>
    <row r="189" spans="1:21" x14ac:dyDescent="0.35">
      <c r="A189" t="s">
        <v>318</v>
      </c>
      <c r="B189" t="s">
        <v>30</v>
      </c>
      <c r="C189" t="s">
        <v>31</v>
      </c>
      <c r="D189" t="s">
        <v>33</v>
      </c>
      <c r="E189" t="s">
        <v>28</v>
      </c>
      <c r="F189">
        <v>4834</v>
      </c>
      <c r="G189">
        <v>4556</v>
      </c>
      <c r="H189" s="1">
        <v>46277</v>
      </c>
      <c r="I189" s="1">
        <v>46276</v>
      </c>
      <c r="J189">
        <v>139</v>
      </c>
      <c r="K189">
        <v>70</v>
      </c>
      <c r="L189">
        <f t="shared" si="10"/>
        <v>-1</v>
      </c>
      <c r="M189" s="6">
        <f t="shared" si="11"/>
        <v>1</v>
      </c>
      <c r="N189" s="6">
        <f t="shared" si="12"/>
        <v>0.94249069093918081</v>
      </c>
      <c r="O189" s="6">
        <f t="shared" si="13"/>
        <v>0.9694907813871817</v>
      </c>
      <c r="P189">
        <f t="shared" si="14"/>
        <v>318920</v>
      </c>
      <c r="Q189" s="6">
        <f>MIN(Table1[Unit Price])/Table1[[#This Row],[Unit Price]]</f>
        <v>7.1428571428571425E-2</v>
      </c>
      <c r="R189" s="8">
        <f>IF(Table1[[#This Row],[Delivery Delay]]&gt;0,1,0)</f>
        <v>0</v>
      </c>
      <c r="S189" s="6">
        <f>(Table1[[#This Row],[OTD]]*0.4)+(Table1[[#This Row],[Quality Rate]]*0.3)+(Table1[[#This Row],[Fill Rate]]*0.2)+(Table1[[#This Row],[Cost Score]]*0.1)</f>
        <v>0.88648822974684771</v>
      </c>
      <c r="T189">
        <f>MAX(Table1[OTD])</f>
        <v>1</v>
      </c>
      <c r="U189" t="str">
        <f>IF(Table1[[#This Row],[Vendor Score]]&gt;=90%,"Excellent",IF(Table1[[#This Row],[Vendor Score]]&gt;=75%,"Moderate","Poor"))</f>
        <v>Moderate</v>
      </c>
    </row>
    <row r="190" spans="1:21" x14ac:dyDescent="0.35">
      <c r="A190" t="s">
        <v>502</v>
      </c>
      <c r="B190" t="s">
        <v>17</v>
      </c>
      <c r="C190" t="s">
        <v>18</v>
      </c>
      <c r="D190" t="s">
        <v>19</v>
      </c>
      <c r="E190" t="s">
        <v>24</v>
      </c>
      <c r="F190">
        <v>2729</v>
      </c>
      <c r="G190">
        <v>2650</v>
      </c>
      <c r="H190" s="1">
        <v>46153</v>
      </c>
      <c r="I190" s="1">
        <v>46153</v>
      </c>
      <c r="J190">
        <v>106</v>
      </c>
      <c r="K190">
        <v>118</v>
      </c>
      <c r="L190">
        <f t="shared" si="10"/>
        <v>0</v>
      </c>
      <c r="M190" s="6">
        <f t="shared" si="11"/>
        <v>1</v>
      </c>
      <c r="N190" s="6">
        <f t="shared" si="12"/>
        <v>0.97105166727739101</v>
      </c>
      <c r="O190" s="6">
        <f t="shared" si="13"/>
        <v>0.96</v>
      </c>
      <c r="P190">
        <f t="shared" si="14"/>
        <v>312700</v>
      </c>
      <c r="Q190" s="6">
        <f>MIN(Table1[Unit Price])/Table1[[#This Row],[Unit Price]]</f>
        <v>4.2372881355932202E-2</v>
      </c>
      <c r="R190" s="8">
        <f>IF(Table1[[#This Row],[Delivery Delay]]&gt;0,1,0)</f>
        <v>0</v>
      </c>
      <c r="S190" s="6">
        <f>(Table1[[#This Row],[OTD]]*0.4)+(Table1[[#This Row],[Quality Rate]]*0.3)+(Table1[[#This Row],[Fill Rate]]*0.2)+(Table1[[#This Row],[Cost Score]]*0.1)</f>
        <v>0.88644762159107138</v>
      </c>
      <c r="T190">
        <f>MAX(Table1[OTD])</f>
        <v>1</v>
      </c>
      <c r="U190" t="str">
        <f>IF(Table1[[#This Row],[Vendor Score]]&gt;=90%,"Excellent",IF(Table1[[#This Row],[Vendor Score]]&gt;=75%,"Moderate","Poor"))</f>
        <v>Moderate</v>
      </c>
    </row>
    <row r="191" spans="1:21" x14ac:dyDescent="0.35">
      <c r="A191" t="s">
        <v>334</v>
      </c>
      <c r="B191" t="s">
        <v>78</v>
      </c>
      <c r="C191" t="s">
        <v>79</v>
      </c>
      <c r="D191" t="s">
        <v>19</v>
      </c>
      <c r="E191" t="s">
        <v>34</v>
      </c>
      <c r="F191">
        <v>4371</v>
      </c>
      <c r="G191">
        <v>4352</v>
      </c>
      <c r="H191" s="1">
        <v>46196</v>
      </c>
      <c r="I191" s="1">
        <v>46194</v>
      </c>
      <c r="J191">
        <v>218</v>
      </c>
      <c r="K191">
        <v>221</v>
      </c>
      <c r="L191">
        <f t="shared" si="10"/>
        <v>-2</v>
      </c>
      <c r="M191" s="6">
        <f t="shared" si="11"/>
        <v>1</v>
      </c>
      <c r="N191" s="6">
        <f t="shared" si="12"/>
        <v>0.99565316861130171</v>
      </c>
      <c r="O191" s="6">
        <f t="shared" si="13"/>
        <v>0.94990808823529416</v>
      </c>
      <c r="P191">
        <f t="shared" si="14"/>
        <v>961792</v>
      </c>
      <c r="Q191" s="6">
        <f>MIN(Table1[Unit Price])/Table1[[#This Row],[Unit Price]]</f>
        <v>2.2624434389140271E-2</v>
      </c>
      <c r="R191" s="8">
        <f>IF(Table1[[#This Row],[Delivery Delay]]&gt;0,1,0)</f>
        <v>0</v>
      </c>
      <c r="S191" s="6">
        <f>(Table1[[#This Row],[OTD]]*0.4)+(Table1[[#This Row],[Quality Rate]]*0.3)+(Table1[[#This Row],[Fill Rate]]*0.2)+(Table1[[#This Row],[Cost Score]]*0.1)</f>
        <v>0.8863655036317627</v>
      </c>
      <c r="T191">
        <f>MAX(Table1[OTD])</f>
        <v>1</v>
      </c>
      <c r="U191" t="str">
        <f>IF(Table1[[#This Row],[Vendor Score]]&gt;=90%,"Excellent",IF(Table1[[#This Row],[Vendor Score]]&gt;=75%,"Moderate","Poor"))</f>
        <v>Moderate</v>
      </c>
    </row>
    <row r="192" spans="1:21" x14ac:dyDescent="0.35">
      <c r="A192" t="s">
        <v>481</v>
      </c>
      <c r="B192" t="s">
        <v>42</v>
      </c>
      <c r="C192" t="s">
        <v>43</v>
      </c>
      <c r="D192" t="s">
        <v>14</v>
      </c>
      <c r="E192" t="s">
        <v>47</v>
      </c>
      <c r="F192">
        <v>2183</v>
      </c>
      <c r="G192">
        <v>2028</v>
      </c>
      <c r="H192" s="1">
        <v>46346</v>
      </c>
      <c r="I192" s="1">
        <v>46346</v>
      </c>
      <c r="J192">
        <v>21</v>
      </c>
      <c r="K192">
        <v>141</v>
      </c>
      <c r="L192">
        <f t="shared" si="10"/>
        <v>0</v>
      </c>
      <c r="M192" s="6">
        <f t="shared" si="11"/>
        <v>1</v>
      </c>
      <c r="N192" s="6">
        <f t="shared" si="12"/>
        <v>0.92899679340357311</v>
      </c>
      <c r="O192" s="6">
        <f t="shared" si="13"/>
        <v>0.98964497041420119</v>
      </c>
      <c r="P192">
        <f t="shared" si="14"/>
        <v>285948</v>
      </c>
      <c r="Q192" s="6">
        <f>MIN(Table1[Unit Price])/Table1[[#This Row],[Unit Price]]</f>
        <v>3.5460992907801421E-2</v>
      </c>
      <c r="R192" s="8">
        <f>IF(Table1[[#This Row],[Delivery Delay]]&gt;0,1,0)</f>
        <v>0</v>
      </c>
      <c r="S192" s="6">
        <f>(Table1[[#This Row],[OTD]]*0.4)+(Table1[[#This Row],[Quality Rate]]*0.3)+(Table1[[#This Row],[Fill Rate]]*0.2)+(Table1[[#This Row],[Cost Score]]*0.1)</f>
        <v>0.88623894909575507</v>
      </c>
      <c r="T192">
        <f>MAX(Table1[OTD])</f>
        <v>1</v>
      </c>
      <c r="U192" t="str">
        <f>IF(Table1[[#This Row],[Vendor Score]]&gt;=90%,"Excellent",IF(Table1[[#This Row],[Vendor Score]]&gt;=75%,"Moderate","Poor"))</f>
        <v>Moderate</v>
      </c>
    </row>
    <row r="193" spans="1:21" x14ac:dyDescent="0.35">
      <c r="A193" t="s">
        <v>185</v>
      </c>
      <c r="B193" t="s">
        <v>78</v>
      </c>
      <c r="C193" t="s">
        <v>79</v>
      </c>
      <c r="D193" t="s">
        <v>33</v>
      </c>
      <c r="E193" t="s">
        <v>96</v>
      </c>
      <c r="F193">
        <v>3865</v>
      </c>
      <c r="G193">
        <v>3822</v>
      </c>
      <c r="H193" s="1">
        <v>46124</v>
      </c>
      <c r="I193" s="1">
        <v>46123</v>
      </c>
      <c r="J193">
        <v>197</v>
      </c>
      <c r="K193">
        <v>128</v>
      </c>
      <c r="L193">
        <f t="shared" si="10"/>
        <v>-1</v>
      </c>
      <c r="M193" s="6">
        <f t="shared" si="11"/>
        <v>1</v>
      </c>
      <c r="N193" s="6">
        <f t="shared" si="12"/>
        <v>0.98887451487710221</v>
      </c>
      <c r="O193" s="6">
        <f t="shared" si="13"/>
        <v>0.94845630559916272</v>
      </c>
      <c r="P193">
        <f t="shared" si="14"/>
        <v>489216</v>
      </c>
      <c r="Q193" s="6">
        <f>MIN(Table1[Unit Price])/Table1[[#This Row],[Unit Price]]</f>
        <v>3.90625E-2</v>
      </c>
      <c r="R193" s="8">
        <f>IF(Table1[[#This Row],[Delivery Delay]]&gt;0,1,0)</f>
        <v>0</v>
      </c>
      <c r="S193" s="6">
        <f>(Table1[[#This Row],[OTD]]*0.4)+(Table1[[#This Row],[Quality Rate]]*0.3)+(Table1[[#This Row],[Fill Rate]]*0.2)+(Table1[[#This Row],[Cost Score]]*0.1)</f>
        <v>0.88621804465516929</v>
      </c>
      <c r="T193">
        <f>MAX(Table1[OTD])</f>
        <v>1</v>
      </c>
      <c r="U193" t="str">
        <f>IF(Table1[[#This Row],[Vendor Score]]&gt;=90%,"Excellent",IF(Table1[[#This Row],[Vendor Score]]&gt;=75%,"Moderate","Poor"))</f>
        <v>Moderate</v>
      </c>
    </row>
    <row r="194" spans="1:21" x14ac:dyDescent="0.35">
      <c r="A194" t="s">
        <v>313</v>
      </c>
      <c r="B194" t="s">
        <v>59</v>
      </c>
      <c r="C194" t="s">
        <v>60</v>
      </c>
      <c r="D194" t="s">
        <v>14</v>
      </c>
      <c r="E194" t="s">
        <v>96</v>
      </c>
      <c r="F194">
        <v>1895</v>
      </c>
      <c r="G194">
        <v>1873</v>
      </c>
      <c r="H194" s="1">
        <v>46119</v>
      </c>
      <c r="I194" s="1">
        <v>46118</v>
      </c>
      <c r="J194">
        <v>114</v>
      </c>
      <c r="K194">
        <v>74</v>
      </c>
      <c r="L194">
        <f t="shared" ref="L194:L257" si="15">I194-H194</f>
        <v>-1</v>
      </c>
      <c r="M194" s="6">
        <f t="shared" ref="M194:M257" si="16">IF(L194&lt;=0,1,0)</f>
        <v>1</v>
      </c>
      <c r="N194" s="6">
        <f t="shared" ref="N194:N257" si="17">G194/F194</f>
        <v>0.98839050131926121</v>
      </c>
      <c r="O194" s="6">
        <f t="shared" ref="O194:O257" si="18">(G194-J194)/G194</f>
        <v>0.93913507741591029</v>
      </c>
      <c r="P194">
        <f t="shared" ref="P194:P257" si="19">G194*K194</f>
        <v>138602</v>
      </c>
      <c r="Q194" s="6">
        <f>MIN(Table1[Unit Price])/Table1[[#This Row],[Unit Price]]</f>
        <v>6.7567567567567571E-2</v>
      </c>
      <c r="R194" s="8">
        <f>IF(Table1[[#This Row],[Delivery Delay]]&gt;0,1,0)</f>
        <v>0</v>
      </c>
      <c r="S194" s="6">
        <f>(Table1[[#This Row],[OTD]]*0.4)+(Table1[[#This Row],[Quality Rate]]*0.3)+(Table1[[#This Row],[Fill Rate]]*0.2)+(Table1[[#This Row],[Cost Score]]*0.1)</f>
        <v>0.88617538024538212</v>
      </c>
      <c r="T194">
        <f>MAX(Table1[OTD])</f>
        <v>1</v>
      </c>
      <c r="U194" t="str">
        <f>IF(Table1[[#This Row],[Vendor Score]]&gt;=90%,"Excellent",IF(Table1[[#This Row],[Vendor Score]]&gt;=75%,"Moderate","Poor"))</f>
        <v>Moderate</v>
      </c>
    </row>
    <row r="195" spans="1:21" x14ac:dyDescent="0.35">
      <c r="A195" t="s">
        <v>430</v>
      </c>
      <c r="B195" t="s">
        <v>42</v>
      </c>
      <c r="C195" t="s">
        <v>43</v>
      </c>
      <c r="D195" t="s">
        <v>19</v>
      </c>
      <c r="E195" t="s">
        <v>57</v>
      </c>
      <c r="F195">
        <v>2886</v>
      </c>
      <c r="G195">
        <v>2699</v>
      </c>
      <c r="H195" s="1">
        <v>46306</v>
      </c>
      <c r="I195" s="1">
        <v>46306</v>
      </c>
      <c r="J195">
        <v>30</v>
      </c>
      <c r="K195">
        <v>206</v>
      </c>
      <c r="L195">
        <f t="shared" si="15"/>
        <v>0</v>
      </c>
      <c r="M195" s="6">
        <f t="shared" si="16"/>
        <v>1</v>
      </c>
      <c r="N195" s="6">
        <f t="shared" si="17"/>
        <v>0.93520443520443519</v>
      </c>
      <c r="O195" s="6">
        <f t="shared" si="18"/>
        <v>0.98888477213782877</v>
      </c>
      <c r="P195">
        <f t="shared" si="19"/>
        <v>555994</v>
      </c>
      <c r="Q195" s="6">
        <f>MIN(Table1[Unit Price])/Table1[[#This Row],[Unit Price]]</f>
        <v>2.4271844660194174E-2</v>
      </c>
      <c r="R195" s="8">
        <f>IF(Table1[[#This Row],[Delivery Delay]]&gt;0,1,0)</f>
        <v>0</v>
      </c>
      <c r="S195" s="6">
        <f>(Table1[[#This Row],[OTD]]*0.4)+(Table1[[#This Row],[Quality Rate]]*0.3)+(Table1[[#This Row],[Fill Rate]]*0.2)+(Table1[[#This Row],[Cost Score]]*0.1)</f>
        <v>0.88613350314825512</v>
      </c>
      <c r="T195">
        <f>MAX(Table1[OTD])</f>
        <v>1</v>
      </c>
      <c r="U195" t="str">
        <f>IF(Table1[[#This Row],[Vendor Score]]&gt;=90%,"Excellent",IF(Table1[[#This Row],[Vendor Score]]&gt;=75%,"Moderate","Poor"))</f>
        <v>Moderate</v>
      </c>
    </row>
    <row r="196" spans="1:21" x14ac:dyDescent="0.35">
      <c r="A196" t="s">
        <v>90</v>
      </c>
      <c r="B196" t="s">
        <v>78</v>
      </c>
      <c r="C196" t="s">
        <v>79</v>
      </c>
      <c r="D196" t="s">
        <v>14</v>
      </c>
      <c r="E196" t="s">
        <v>15</v>
      </c>
      <c r="F196">
        <v>1993</v>
      </c>
      <c r="G196">
        <v>1928</v>
      </c>
      <c r="H196" s="1">
        <v>46381</v>
      </c>
      <c r="I196" s="1">
        <v>46379</v>
      </c>
      <c r="J196">
        <v>100</v>
      </c>
      <c r="K196">
        <v>61</v>
      </c>
      <c r="L196">
        <f t="shared" si="15"/>
        <v>-2</v>
      </c>
      <c r="M196" s="6">
        <f t="shared" si="16"/>
        <v>1</v>
      </c>
      <c r="N196" s="6">
        <f t="shared" si="17"/>
        <v>0.96738585047666836</v>
      </c>
      <c r="O196" s="6">
        <f t="shared" si="18"/>
        <v>0.94813278008298751</v>
      </c>
      <c r="P196">
        <f t="shared" si="19"/>
        <v>117608</v>
      </c>
      <c r="Q196" s="6">
        <f>MIN(Table1[Unit Price])/Table1[[#This Row],[Unit Price]]</f>
        <v>8.1967213114754092E-2</v>
      </c>
      <c r="R196" s="8">
        <f>IF(Table1[[#This Row],[Delivery Delay]]&gt;0,1,0)</f>
        <v>0</v>
      </c>
      <c r="S196" s="6">
        <f>(Table1[[#This Row],[OTD]]*0.4)+(Table1[[#This Row],[Quality Rate]]*0.3)+(Table1[[#This Row],[Fill Rate]]*0.2)+(Table1[[#This Row],[Cost Score]]*0.1)</f>
        <v>0.88611372543170541</v>
      </c>
      <c r="T196">
        <f>MAX(Table1[OTD])</f>
        <v>1</v>
      </c>
      <c r="U196" t="str">
        <f>IF(Table1[[#This Row],[Vendor Score]]&gt;=90%,"Excellent",IF(Table1[[#This Row],[Vendor Score]]&gt;=75%,"Moderate","Poor"))</f>
        <v>Moderate</v>
      </c>
    </row>
    <row r="197" spans="1:21" x14ac:dyDescent="0.35">
      <c r="A197" t="s">
        <v>434</v>
      </c>
      <c r="B197" t="s">
        <v>38</v>
      </c>
      <c r="C197" t="s">
        <v>39</v>
      </c>
      <c r="D197" t="s">
        <v>55</v>
      </c>
      <c r="E197" t="s">
        <v>15</v>
      </c>
      <c r="F197">
        <v>3646</v>
      </c>
      <c r="G197">
        <v>3461</v>
      </c>
      <c r="H197" s="1">
        <v>46383</v>
      </c>
      <c r="I197" s="1">
        <v>46382</v>
      </c>
      <c r="J197">
        <v>72</v>
      </c>
      <c r="K197">
        <v>203</v>
      </c>
      <c r="L197">
        <f t="shared" si="15"/>
        <v>-1</v>
      </c>
      <c r="M197" s="6">
        <f t="shared" si="16"/>
        <v>1</v>
      </c>
      <c r="N197" s="6">
        <f t="shared" si="17"/>
        <v>0.94925946242457493</v>
      </c>
      <c r="O197" s="6">
        <f t="shared" si="18"/>
        <v>0.97919676394105748</v>
      </c>
      <c r="P197">
        <f t="shared" si="19"/>
        <v>702583</v>
      </c>
      <c r="Q197" s="6">
        <f>MIN(Table1[Unit Price])/Table1[[#This Row],[Unit Price]]</f>
        <v>2.4630541871921183E-2</v>
      </c>
      <c r="R197" s="8">
        <f>IF(Table1[[#This Row],[Delivery Delay]]&gt;0,1,0)</f>
        <v>0</v>
      </c>
      <c r="S197" s="6">
        <f>(Table1[[#This Row],[OTD]]*0.4)+(Table1[[#This Row],[Quality Rate]]*0.3)+(Table1[[#This Row],[Fill Rate]]*0.2)+(Table1[[#This Row],[Cost Score]]*0.1)</f>
        <v>0.88607397585442438</v>
      </c>
      <c r="T197">
        <f>MAX(Table1[OTD])</f>
        <v>1</v>
      </c>
      <c r="U197" t="str">
        <f>IF(Table1[[#This Row],[Vendor Score]]&gt;=90%,"Excellent",IF(Table1[[#This Row],[Vendor Score]]&gt;=75%,"Moderate","Poor"))</f>
        <v>Moderate</v>
      </c>
    </row>
    <row r="198" spans="1:21" x14ac:dyDescent="0.35">
      <c r="A198" t="s">
        <v>418</v>
      </c>
      <c r="B198" t="s">
        <v>78</v>
      </c>
      <c r="C198" t="s">
        <v>79</v>
      </c>
      <c r="D198" t="s">
        <v>19</v>
      </c>
      <c r="E198" t="s">
        <v>57</v>
      </c>
      <c r="F198">
        <v>617</v>
      </c>
      <c r="G198">
        <v>616</v>
      </c>
      <c r="H198" s="1">
        <v>46320</v>
      </c>
      <c r="I198" s="1">
        <v>46320</v>
      </c>
      <c r="J198">
        <v>33</v>
      </c>
      <c r="K198">
        <v>214</v>
      </c>
      <c r="L198">
        <f t="shared" si="15"/>
        <v>0</v>
      </c>
      <c r="M198" s="6">
        <f t="shared" si="16"/>
        <v>1</v>
      </c>
      <c r="N198" s="6">
        <f t="shared" si="17"/>
        <v>0.99837925445705022</v>
      </c>
      <c r="O198" s="6">
        <f t="shared" si="18"/>
        <v>0.9464285714285714</v>
      </c>
      <c r="P198">
        <f t="shared" si="19"/>
        <v>131824</v>
      </c>
      <c r="Q198" s="6">
        <f>MIN(Table1[Unit Price])/Table1[[#This Row],[Unit Price]]</f>
        <v>2.336448598130841E-2</v>
      </c>
      <c r="R198" s="8">
        <f>IF(Table1[[#This Row],[Delivery Delay]]&gt;0,1,0)</f>
        <v>0</v>
      </c>
      <c r="S198" s="6">
        <f>(Table1[[#This Row],[OTD]]*0.4)+(Table1[[#This Row],[Quality Rate]]*0.3)+(Table1[[#This Row],[Fill Rate]]*0.2)+(Table1[[#This Row],[Cost Score]]*0.1)</f>
        <v>0.88594087091811236</v>
      </c>
      <c r="T198">
        <f>MAX(Table1[OTD])</f>
        <v>1</v>
      </c>
      <c r="U198" t="str">
        <f>IF(Table1[[#This Row],[Vendor Score]]&gt;=90%,"Excellent",IF(Table1[[#This Row],[Vendor Score]]&gt;=75%,"Moderate","Poor"))</f>
        <v>Moderate</v>
      </c>
    </row>
    <row r="199" spans="1:21" x14ac:dyDescent="0.35">
      <c r="A199" t="s">
        <v>356</v>
      </c>
      <c r="B199" t="s">
        <v>78</v>
      </c>
      <c r="C199" t="s">
        <v>79</v>
      </c>
      <c r="D199" t="s">
        <v>55</v>
      </c>
      <c r="E199" t="s">
        <v>20</v>
      </c>
      <c r="F199">
        <v>2636</v>
      </c>
      <c r="G199">
        <v>2549</v>
      </c>
      <c r="H199" s="1">
        <v>46217</v>
      </c>
      <c r="I199" s="1">
        <v>46215</v>
      </c>
      <c r="J199">
        <v>129</v>
      </c>
      <c r="K199">
        <v>65</v>
      </c>
      <c r="L199">
        <f t="shared" si="15"/>
        <v>-2</v>
      </c>
      <c r="M199" s="6">
        <f t="shared" si="16"/>
        <v>1</v>
      </c>
      <c r="N199" s="6">
        <f t="shared" si="17"/>
        <v>0.96699544764795142</v>
      </c>
      <c r="O199" s="6">
        <f t="shared" si="18"/>
        <v>0.94939191839937231</v>
      </c>
      <c r="P199">
        <f t="shared" si="19"/>
        <v>165685</v>
      </c>
      <c r="Q199" s="6">
        <f>MIN(Table1[Unit Price])/Table1[[#This Row],[Unit Price]]</f>
        <v>7.6923076923076927E-2</v>
      </c>
      <c r="R199" s="8">
        <f>IF(Table1[[#This Row],[Delivery Delay]]&gt;0,1,0)</f>
        <v>0</v>
      </c>
      <c r="S199" s="6">
        <f>(Table1[[#This Row],[OTD]]*0.4)+(Table1[[#This Row],[Quality Rate]]*0.3)+(Table1[[#This Row],[Fill Rate]]*0.2)+(Table1[[#This Row],[Cost Score]]*0.1)</f>
        <v>0.88590897274170965</v>
      </c>
      <c r="T199">
        <f>MAX(Table1[OTD])</f>
        <v>1</v>
      </c>
      <c r="U199" t="str">
        <f>IF(Table1[[#This Row],[Vendor Score]]&gt;=90%,"Excellent",IF(Table1[[#This Row],[Vendor Score]]&gt;=75%,"Moderate","Poor"))</f>
        <v>Moderate</v>
      </c>
    </row>
    <row r="200" spans="1:21" x14ac:dyDescent="0.35">
      <c r="A200" t="s">
        <v>393</v>
      </c>
      <c r="B200" t="s">
        <v>17</v>
      </c>
      <c r="C200" t="s">
        <v>18</v>
      </c>
      <c r="D200" t="s">
        <v>14</v>
      </c>
      <c r="E200" t="s">
        <v>47</v>
      </c>
      <c r="F200">
        <v>3042</v>
      </c>
      <c r="G200">
        <v>2965</v>
      </c>
      <c r="H200" s="1">
        <v>46349</v>
      </c>
      <c r="I200" s="1">
        <v>46347</v>
      </c>
      <c r="J200">
        <v>121</v>
      </c>
      <c r="K200">
        <v>156</v>
      </c>
      <c r="L200">
        <f t="shared" si="15"/>
        <v>-2</v>
      </c>
      <c r="M200" s="6">
        <f t="shared" si="16"/>
        <v>1</v>
      </c>
      <c r="N200" s="6">
        <f t="shared" si="17"/>
        <v>0.97468770545693617</v>
      </c>
      <c r="O200" s="6">
        <f t="shared" si="18"/>
        <v>0.95919055649241147</v>
      </c>
      <c r="P200">
        <f t="shared" si="19"/>
        <v>462540</v>
      </c>
      <c r="Q200" s="6">
        <f>MIN(Table1[Unit Price])/Table1[[#This Row],[Unit Price]]</f>
        <v>3.2051282051282048E-2</v>
      </c>
      <c r="R200" s="8">
        <f>IF(Table1[[#This Row],[Delivery Delay]]&gt;0,1,0)</f>
        <v>0</v>
      </c>
      <c r="S200" s="6">
        <f>(Table1[[#This Row],[OTD]]*0.4)+(Table1[[#This Row],[Quality Rate]]*0.3)+(Table1[[#This Row],[Fill Rate]]*0.2)+(Table1[[#This Row],[Cost Score]]*0.1)</f>
        <v>0.88589983624423885</v>
      </c>
      <c r="T200">
        <f>MAX(Table1[OTD])</f>
        <v>1</v>
      </c>
      <c r="U200" t="str">
        <f>IF(Table1[[#This Row],[Vendor Score]]&gt;=90%,"Excellent",IF(Table1[[#This Row],[Vendor Score]]&gt;=75%,"Moderate","Poor"))</f>
        <v>Moderate</v>
      </c>
    </row>
    <row r="201" spans="1:21" x14ac:dyDescent="0.35">
      <c r="A201" t="s">
        <v>249</v>
      </c>
      <c r="B201" t="s">
        <v>30</v>
      </c>
      <c r="C201" t="s">
        <v>31</v>
      </c>
      <c r="D201" t="s">
        <v>55</v>
      </c>
      <c r="E201" t="s">
        <v>57</v>
      </c>
      <c r="F201">
        <v>933</v>
      </c>
      <c r="G201">
        <v>900</v>
      </c>
      <c r="H201" s="1">
        <v>46320</v>
      </c>
      <c r="I201" s="1">
        <v>46319</v>
      </c>
      <c r="J201">
        <v>32</v>
      </c>
      <c r="K201">
        <v>138</v>
      </c>
      <c r="L201">
        <f t="shared" si="15"/>
        <v>-1</v>
      </c>
      <c r="M201" s="6">
        <f t="shared" si="16"/>
        <v>1</v>
      </c>
      <c r="N201" s="6">
        <f t="shared" si="17"/>
        <v>0.96463022508038587</v>
      </c>
      <c r="O201" s="6">
        <f t="shared" si="18"/>
        <v>0.96444444444444444</v>
      </c>
      <c r="P201">
        <f t="shared" si="19"/>
        <v>124200</v>
      </c>
      <c r="Q201" s="6">
        <f>MIN(Table1[Unit Price])/Table1[[#This Row],[Unit Price]]</f>
        <v>3.6231884057971016E-2</v>
      </c>
      <c r="R201" s="8">
        <f>IF(Table1[[#This Row],[Delivery Delay]]&gt;0,1,0)</f>
        <v>0</v>
      </c>
      <c r="S201" s="6">
        <f>(Table1[[#This Row],[OTD]]*0.4)+(Table1[[#This Row],[Quality Rate]]*0.3)+(Table1[[#This Row],[Fill Rate]]*0.2)+(Table1[[#This Row],[Cost Score]]*0.1)</f>
        <v>0.88588256675520771</v>
      </c>
      <c r="T201">
        <f>MAX(Table1[OTD])</f>
        <v>1</v>
      </c>
      <c r="U201" t="str">
        <f>IF(Table1[[#This Row],[Vendor Score]]&gt;=90%,"Excellent",IF(Table1[[#This Row],[Vendor Score]]&gt;=75%,"Moderate","Poor"))</f>
        <v>Moderate</v>
      </c>
    </row>
    <row r="202" spans="1:21" x14ac:dyDescent="0.35">
      <c r="A202" t="s">
        <v>482</v>
      </c>
      <c r="B202" t="s">
        <v>38</v>
      </c>
      <c r="C202" t="s">
        <v>39</v>
      </c>
      <c r="D202" t="s">
        <v>33</v>
      </c>
      <c r="E202" t="s">
        <v>28</v>
      </c>
      <c r="F202">
        <v>1238</v>
      </c>
      <c r="G202">
        <v>1172</v>
      </c>
      <c r="H202" s="1">
        <v>46273</v>
      </c>
      <c r="I202" s="1">
        <v>46271</v>
      </c>
      <c r="J202">
        <v>27</v>
      </c>
      <c r="K202">
        <v>147</v>
      </c>
      <c r="L202">
        <f t="shared" si="15"/>
        <v>-2</v>
      </c>
      <c r="M202" s="6">
        <f t="shared" si="16"/>
        <v>1</v>
      </c>
      <c r="N202" s="6">
        <f t="shared" si="17"/>
        <v>0.94668820678513732</v>
      </c>
      <c r="O202" s="6">
        <f t="shared" si="18"/>
        <v>0.976962457337884</v>
      </c>
      <c r="P202">
        <f t="shared" si="19"/>
        <v>172284</v>
      </c>
      <c r="Q202" s="6">
        <f>MIN(Table1[Unit Price])/Table1[[#This Row],[Unit Price]]</f>
        <v>3.4013605442176874E-2</v>
      </c>
      <c r="R202" s="8">
        <f>IF(Table1[[#This Row],[Delivery Delay]]&gt;0,1,0)</f>
        <v>0</v>
      </c>
      <c r="S202" s="6">
        <f>(Table1[[#This Row],[OTD]]*0.4)+(Table1[[#This Row],[Quality Rate]]*0.3)+(Table1[[#This Row],[Fill Rate]]*0.2)+(Table1[[#This Row],[Cost Score]]*0.1)</f>
        <v>0.88582773910261037</v>
      </c>
      <c r="T202">
        <f>MAX(Table1[OTD])</f>
        <v>1</v>
      </c>
      <c r="U202" t="str">
        <f>IF(Table1[[#This Row],[Vendor Score]]&gt;=90%,"Excellent",IF(Table1[[#This Row],[Vendor Score]]&gt;=75%,"Moderate","Poor"))</f>
        <v>Moderate</v>
      </c>
    </row>
    <row r="203" spans="1:21" x14ac:dyDescent="0.35">
      <c r="A203" t="s">
        <v>540</v>
      </c>
      <c r="B203" t="s">
        <v>78</v>
      </c>
      <c r="C203" t="s">
        <v>79</v>
      </c>
      <c r="D203" t="s">
        <v>55</v>
      </c>
      <c r="E203" t="s">
        <v>96</v>
      </c>
      <c r="F203">
        <v>3635</v>
      </c>
      <c r="G203">
        <v>3600</v>
      </c>
      <c r="H203" s="1">
        <v>46119</v>
      </c>
      <c r="I203" s="1">
        <v>46119</v>
      </c>
      <c r="J203">
        <v>185</v>
      </c>
      <c r="K203">
        <v>165</v>
      </c>
      <c r="L203">
        <f t="shared" si="15"/>
        <v>0</v>
      </c>
      <c r="M203" s="6">
        <f t="shared" si="16"/>
        <v>1</v>
      </c>
      <c r="N203" s="6">
        <f t="shared" si="17"/>
        <v>0.99037138927097657</v>
      </c>
      <c r="O203" s="6">
        <f t="shared" si="18"/>
        <v>0.94861111111111107</v>
      </c>
      <c r="P203">
        <f t="shared" si="19"/>
        <v>594000</v>
      </c>
      <c r="Q203" s="6">
        <f>MIN(Table1[Unit Price])/Table1[[#This Row],[Unit Price]]</f>
        <v>3.0303030303030304E-2</v>
      </c>
      <c r="R203" s="8">
        <f>IF(Table1[[#This Row],[Delivery Delay]]&gt;0,1,0)</f>
        <v>0</v>
      </c>
      <c r="S203" s="6">
        <f>(Table1[[#This Row],[OTD]]*0.4)+(Table1[[#This Row],[Quality Rate]]*0.3)+(Table1[[#This Row],[Fill Rate]]*0.2)+(Table1[[#This Row],[Cost Score]]*0.1)</f>
        <v>0.88568791421783166</v>
      </c>
      <c r="T203">
        <f>MAX(Table1[OTD])</f>
        <v>1</v>
      </c>
      <c r="U203" t="str">
        <f>IF(Table1[[#This Row],[Vendor Score]]&gt;=90%,"Excellent",IF(Table1[[#This Row],[Vendor Score]]&gt;=75%,"Moderate","Poor"))</f>
        <v>Moderate</v>
      </c>
    </row>
    <row r="204" spans="1:21" x14ac:dyDescent="0.35">
      <c r="A204" t="s">
        <v>545</v>
      </c>
      <c r="B204" t="s">
        <v>38</v>
      </c>
      <c r="C204" t="s">
        <v>39</v>
      </c>
      <c r="D204" t="s">
        <v>14</v>
      </c>
      <c r="E204" t="s">
        <v>34</v>
      </c>
      <c r="F204">
        <v>2633</v>
      </c>
      <c r="G204">
        <v>2490</v>
      </c>
      <c r="H204" s="1">
        <v>46196</v>
      </c>
      <c r="I204" s="1">
        <v>46195</v>
      </c>
      <c r="J204">
        <v>55</v>
      </c>
      <c r="K204">
        <v>169</v>
      </c>
      <c r="L204">
        <f t="shared" si="15"/>
        <v>-1</v>
      </c>
      <c r="M204" s="6">
        <f t="shared" si="16"/>
        <v>1</v>
      </c>
      <c r="N204" s="6">
        <f t="shared" si="17"/>
        <v>0.94568932776300796</v>
      </c>
      <c r="O204" s="6">
        <f t="shared" si="18"/>
        <v>0.97791164658634533</v>
      </c>
      <c r="P204">
        <f t="shared" si="19"/>
        <v>420810</v>
      </c>
      <c r="Q204" s="6">
        <f>MIN(Table1[Unit Price])/Table1[[#This Row],[Unit Price]]</f>
        <v>2.9585798816568046E-2</v>
      </c>
      <c r="R204" s="8">
        <f>IF(Table1[[#This Row],[Delivery Delay]]&gt;0,1,0)</f>
        <v>0</v>
      </c>
      <c r="S204" s="6">
        <f>(Table1[[#This Row],[OTD]]*0.4)+(Table1[[#This Row],[Quality Rate]]*0.3)+(Table1[[#This Row],[Fill Rate]]*0.2)+(Table1[[#This Row],[Cost Score]]*0.1)</f>
        <v>0.88546993941016194</v>
      </c>
      <c r="T204">
        <f>MAX(Table1[OTD])</f>
        <v>1</v>
      </c>
      <c r="U204" t="str">
        <f>IF(Table1[[#This Row],[Vendor Score]]&gt;=90%,"Excellent",IF(Table1[[#This Row],[Vendor Score]]&gt;=75%,"Moderate","Poor"))</f>
        <v>Moderate</v>
      </c>
    </row>
    <row r="205" spans="1:21" x14ac:dyDescent="0.35">
      <c r="A205" t="s">
        <v>443</v>
      </c>
      <c r="B205" t="s">
        <v>17</v>
      </c>
      <c r="C205" t="s">
        <v>18</v>
      </c>
      <c r="D205" t="s">
        <v>55</v>
      </c>
      <c r="E205" t="s">
        <v>57</v>
      </c>
      <c r="F205">
        <v>3263</v>
      </c>
      <c r="G205">
        <v>3188</v>
      </c>
      <c r="H205" s="1">
        <v>46307</v>
      </c>
      <c r="I205" s="1">
        <v>46306</v>
      </c>
      <c r="J205">
        <v>129</v>
      </c>
      <c r="K205">
        <v>248</v>
      </c>
      <c r="L205">
        <f t="shared" si="15"/>
        <v>-1</v>
      </c>
      <c r="M205" s="6">
        <f t="shared" si="16"/>
        <v>1</v>
      </c>
      <c r="N205" s="6">
        <f t="shared" si="17"/>
        <v>0.97701501685565428</v>
      </c>
      <c r="O205" s="6">
        <f t="shared" si="18"/>
        <v>0.95953575909661226</v>
      </c>
      <c r="P205">
        <f t="shared" si="19"/>
        <v>790624</v>
      </c>
      <c r="Q205" s="6">
        <f>MIN(Table1[Unit Price])/Table1[[#This Row],[Unit Price]]</f>
        <v>2.0161290322580645E-2</v>
      </c>
      <c r="R205" s="8">
        <f>IF(Table1[[#This Row],[Delivery Delay]]&gt;0,1,0)</f>
        <v>0</v>
      </c>
      <c r="S205" s="6">
        <f>(Table1[[#This Row],[OTD]]*0.4)+(Table1[[#This Row],[Quality Rate]]*0.3)+(Table1[[#This Row],[Fill Rate]]*0.2)+(Table1[[#This Row],[Cost Score]]*0.1)</f>
        <v>0.8852798601323727</v>
      </c>
      <c r="T205">
        <f>MAX(Table1[OTD])</f>
        <v>1</v>
      </c>
      <c r="U205" t="str">
        <f>IF(Table1[[#This Row],[Vendor Score]]&gt;=90%,"Excellent",IF(Table1[[#This Row],[Vendor Score]]&gt;=75%,"Moderate","Poor"))</f>
        <v>Moderate</v>
      </c>
    </row>
    <row r="206" spans="1:21" x14ac:dyDescent="0.35">
      <c r="A206" t="s">
        <v>369</v>
      </c>
      <c r="B206" t="s">
        <v>42</v>
      </c>
      <c r="C206" t="s">
        <v>43</v>
      </c>
      <c r="D206" t="s">
        <v>14</v>
      </c>
      <c r="E206" t="s">
        <v>52</v>
      </c>
      <c r="F206">
        <v>3954</v>
      </c>
      <c r="G206">
        <v>3647</v>
      </c>
      <c r="H206" s="1">
        <v>46104</v>
      </c>
      <c r="I206" s="1">
        <v>46103</v>
      </c>
      <c r="J206">
        <v>37</v>
      </c>
      <c r="K206">
        <v>130</v>
      </c>
      <c r="L206">
        <f t="shared" si="15"/>
        <v>-1</v>
      </c>
      <c r="M206" s="6">
        <f t="shared" si="16"/>
        <v>1</v>
      </c>
      <c r="N206" s="6">
        <f t="shared" si="17"/>
        <v>0.92235710672736471</v>
      </c>
      <c r="O206" s="6">
        <f t="shared" si="18"/>
        <v>0.98985467507540448</v>
      </c>
      <c r="P206">
        <f t="shared" si="19"/>
        <v>474110</v>
      </c>
      <c r="Q206" s="6">
        <f>MIN(Table1[Unit Price])/Table1[[#This Row],[Unit Price]]</f>
        <v>3.8461538461538464E-2</v>
      </c>
      <c r="R206" s="8">
        <f>IF(Table1[[#This Row],[Delivery Delay]]&gt;0,1,0)</f>
        <v>0</v>
      </c>
      <c r="S206" s="6">
        <f>(Table1[[#This Row],[OTD]]*0.4)+(Table1[[#This Row],[Quality Rate]]*0.3)+(Table1[[#This Row],[Fill Rate]]*0.2)+(Table1[[#This Row],[Cost Score]]*0.1)</f>
        <v>0.88527397771424821</v>
      </c>
      <c r="T206">
        <f>MAX(Table1[OTD])</f>
        <v>1</v>
      </c>
      <c r="U206" t="str">
        <f>IF(Table1[[#This Row],[Vendor Score]]&gt;=90%,"Excellent",IF(Table1[[#This Row],[Vendor Score]]&gt;=75%,"Moderate","Poor"))</f>
        <v>Moderate</v>
      </c>
    </row>
    <row r="207" spans="1:21" x14ac:dyDescent="0.35">
      <c r="A207" t="s">
        <v>506</v>
      </c>
      <c r="B207" t="s">
        <v>30</v>
      </c>
      <c r="C207" t="s">
        <v>31</v>
      </c>
      <c r="D207" t="s">
        <v>33</v>
      </c>
      <c r="E207" t="s">
        <v>57</v>
      </c>
      <c r="F207">
        <v>3301</v>
      </c>
      <c r="G207">
        <v>3157</v>
      </c>
      <c r="H207" s="1">
        <v>46317</v>
      </c>
      <c r="I207" s="1">
        <v>46315</v>
      </c>
      <c r="J207">
        <v>98</v>
      </c>
      <c r="K207">
        <v>153</v>
      </c>
      <c r="L207">
        <f t="shared" si="15"/>
        <v>-2</v>
      </c>
      <c r="M207" s="6">
        <f t="shared" si="16"/>
        <v>1</v>
      </c>
      <c r="N207" s="6">
        <f t="shared" si="17"/>
        <v>0.95637685549833384</v>
      </c>
      <c r="O207" s="6">
        <f t="shared" si="18"/>
        <v>0.96895787139689582</v>
      </c>
      <c r="P207">
        <f t="shared" si="19"/>
        <v>483021</v>
      </c>
      <c r="Q207" s="6">
        <f>MIN(Table1[Unit Price])/Table1[[#This Row],[Unit Price]]</f>
        <v>3.2679738562091505E-2</v>
      </c>
      <c r="R207" s="8">
        <f>IF(Table1[[#This Row],[Delivery Delay]]&gt;0,1,0)</f>
        <v>0</v>
      </c>
      <c r="S207" s="6">
        <f>(Table1[[#This Row],[OTD]]*0.4)+(Table1[[#This Row],[Quality Rate]]*0.3)+(Table1[[#This Row],[Fill Rate]]*0.2)+(Table1[[#This Row],[Cost Score]]*0.1)</f>
        <v>0.88523070637494461</v>
      </c>
      <c r="T207">
        <f>MAX(Table1[OTD])</f>
        <v>1</v>
      </c>
      <c r="U207" t="str">
        <f>IF(Table1[[#This Row],[Vendor Score]]&gt;=90%,"Excellent",IF(Table1[[#This Row],[Vendor Score]]&gt;=75%,"Moderate","Poor"))</f>
        <v>Moderate</v>
      </c>
    </row>
    <row r="208" spans="1:21" x14ac:dyDescent="0.35">
      <c r="A208" t="s">
        <v>292</v>
      </c>
      <c r="B208" t="s">
        <v>78</v>
      </c>
      <c r="C208" t="s">
        <v>79</v>
      </c>
      <c r="D208" t="s">
        <v>14</v>
      </c>
      <c r="E208" t="s">
        <v>47</v>
      </c>
      <c r="F208">
        <v>742</v>
      </c>
      <c r="G208">
        <v>731</v>
      </c>
      <c r="H208" s="1">
        <v>46345</v>
      </c>
      <c r="I208" s="1">
        <v>46343</v>
      </c>
      <c r="J208">
        <v>42</v>
      </c>
      <c r="K208">
        <v>93</v>
      </c>
      <c r="L208">
        <f t="shared" si="15"/>
        <v>-2</v>
      </c>
      <c r="M208" s="6">
        <f t="shared" si="16"/>
        <v>1</v>
      </c>
      <c r="N208" s="6">
        <f t="shared" si="17"/>
        <v>0.98517520215633425</v>
      </c>
      <c r="O208" s="6">
        <f t="shared" si="18"/>
        <v>0.94254445964432287</v>
      </c>
      <c r="P208">
        <f t="shared" si="19"/>
        <v>67983</v>
      </c>
      <c r="Q208" s="6">
        <f>MIN(Table1[Unit Price])/Table1[[#This Row],[Unit Price]]</f>
        <v>5.3763440860215055E-2</v>
      </c>
      <c r="R208" s="8">
        <f>IF(Table1[[#This Row],[Delivery Delay]]&gt;0,1,0)</f>
        <v>0</v>
      </c>
      <c r="S208" s="6">
        <f>(Table1[[#This Row],[OTD]]*0.4)+(Table1[[#This Row],[Quality Rate]]*0.3)+(Table1[[#This Row],[Fill Rate]]*0.2)+(Table1[[#This Row],[Cost Score]]*0.1)</f>
        <v>0.88517472241058526</v>
      </c>
      <c r="T208">
        <f>MAX(Table1[OTD])</f>
        <v>1</v>
      </c>
      <c r="U208" t="str">
        <f>IF(Table1[[#This Row],[Vendor Score]]&gt;=90%,"Excellent",IF(Table1[[#This Row],[Vendor Score]]&gt;=75%,"Moderate","Poor"))</f>
        <v>Moderate</v>
      </c>
    </row>
    <row r="209" spans="1:21" x14ac:dyDescent="0.35">
      <c r="A209" t="s">
        <v>81</v>
      </c>
      <c r="B209" t="s">
        <v>12</v>
      </c>
      <c r="C209" t="s">
        <v>13</v>
      </c>
      <c r="D209" t="s">
        <v>55</v>
      </c>
      <c r="E209" t="s">
        <v>47</v>
      </c>
      <c r="F209">
        <v>2672</v>
      </c>
      <c r="G209">
        <v>2540</v>
      </c>
      <c r="H209" s="1">
        <v>46343</v>
      </c>
      <c r="I209" s="1">
        <v>46343</v>
      </c>
      <c r="J209">
        <v>307</v>
      </c>
      <c r="K209">
        <v>16</v>
      </c>
      <c r="L209">
        <f t="shared" si="15"/>
        <v>0</v>
      </c>
      <c r="M209" s="6">
        <f t="shared" si="16"/>
        <v>1</v>
      </c>
      <c r="N209" s="6">
        <f t="shared" si="17"/>
        <v>0.95059880239520955</v>
      </c>
      <c r="O209" s="6">
        <f t="shared" si="18"/>
        <v>0.87913385826771651</v>
      </c>
      <c r="P209">
        <f t="shared" si="19"/>
        <v>40640</v>
      </c>
      <c r="Q209" s="6">
        <f>MIN(Table1[Unit Price])/Table1[[#This Row],[Unit Price]]</f>
        <v>0.3125</v>
      </c>
      <c r="R209" s="8">
        <f>IF(Table1[[#This Row],[Delivery Delay]]&gt;0,1,0)</f>
        <v>0</v>
      </c>
      <c r="S209" s="6">
        <f>(Table1[[#This Row],[OTD]]*0.4)+(Table1[[#This Row],[Quality Rate]]*0.3)+(Table1[[#This Row],[Fill Rate]]*0.2)+(Table1[[#This Row],[Cost Score]]*0.1)</f>
        <v>0.8851099179593569</v>
      </c>
      <c r="T209">
        <f>MAX(Table1[OTD])</f>
        <v>1</v>
      </c>
      <c r="U209" t="str">
        <f>IF(Table1[[#This Row],[Vendor Score]]&gt;=90%,"Excellent",IF(Table1[[#This Row],[Vendor Score]]&gt;=75%,"Moderate","Poor"))</f>
        <v>Moderate</v>
      </c>
    </row>
    <row r="210" spans="1:21" x14ac:dyDescent="0.35">
      <c r="A210" t="s">
        <v>183</v>
      </c>
      <c r="B210" t="s">
        <v>17</v>
      </c>
      <c r="C210" t="s">
        <v>18</v>
      </c>
      <c r="D210" t="s">
        <v>14</v>
      </c>
      <c r="E210" t="s">
        <v>57</v>
      </c>
      <c r="F210">
        <v>1467</v>
      </c>
      <c r="G210">
        <v>1430</v>
      </c>
      <c r="H210" s="1">
        <v>46319</v>
      </c>
      <c r="I210" s="1">
        <v>46317</v>
      </c>
      <c r="J210">
        <v>60</v>
      </c>
      <c r="K210">
        <v>184</v>
      </c>
      <c r="L210">
        <f t="shared" si="15"/>
        <v>-2</v>
      </c>
      <c r="M210" s="6">
        <f t="shared" si="16"/>
        <v>1</v>
      </c>
      <c r="N210" s="6">
        <f t="shared" si="17"/>
        <v>0.97477845944103614</v>
      </c>
      <c r="O210" s="6">
        <f t="shared" si="18"/>
        <v>0.95804195804195802</v>
      </c>
      <c r="P210">
        <f t="shared" si="19"/>
        <v>263120</v>
      </c>
      <c r="Q210" s="6">
        <f>MIN(Table1[Unit Price])/Table1[[#This Row],[Unit Price]]</f>
        <v>2.717391304347826E-2</v>
      </c>
      <c r="R210" s="8">
        <f>IF(Table1[[#This Row],[Delivery Delay]]&gt;0,1,0)</f>
        <v>0</v>
      </c>
      <c r="S210" s="6">
        <f>(Table1[[#This Row],[OTD]]*0.4)+(Table1[[#This Row],[Quality Rate]]*0.3)+(Table1[[#This Row],[Fill Rate]]*0.2)+(Table1[[#This Row],[Cost Score]]*0.1)</f>
        <v>0.88508567060514243</v>
      </c>
      <c r="T210">
        <f>MAX(Table1[OTD])</f>
        <v>1</v>
      </c>
      <c r="U210" t="str">
        <f>IF(Table1[[#This Row],[Vendor Score]]&gt;=90%,"Excellent",IF(Table1[[#This Row],[Vendor Score]]&gt;=75%,"Moderate","Poor"))</f>
        <v>Moderate</v>
      </c>
    </row>
    <row r="211" spans="1:21" x14ac:dyDescent="0.35">
      <c r="A211" t="s">
        <v>206</v>
      </c>
      <c r="B211" t="s">
        <v>17</v>
      </c>
      <c r="C211" t="s">
        <v>18</v>
      </c>
      <c r="D211" t="s">
        <v>14</v>
      </c>
      <c r="E211" t="s">
        <v>40</v>
      </c>
      <c r="F211">
        <v>2959</v>
      </c>
      <c r="G211">
        <v>2814</v>
      </c>
      <c r="H211" s="1">
        <v>46248</v>
      </c>
      <c r="I211" s="1">
        <v>46248</v>
      </c>
      <c r="J211">
        <v>118</v>
      </c>
      <c r="K211">
        <v>67</v>
      </c>
      <c r="L211">
        <f t="shared" si="15"/>
        <v>0</v>
      </c>
      <c r="M211" s="6">
        <f t="shared" si="16"/>
        <v>1</v>
      </c>
      <c r="N211" s="6">
        <f t="shared" si="17"/>
        <v>0.95099695843190268</v>
      </c>
      <c r="O211" s="6">
        <f t="shared" si="18"/>
        <v>0.95806680881307749</v>
      </c>
      <c r="P211">
        <f t="shared" si="19"/>
        <v>188538</v>
      </c>
      <c r="Q211" s="6">
        <f>MIN(Table1[Unit Price])/Table1[[#This Row],[Unit Price]]</f>
        <v>7.4626865671641784E-2</v>
      </c>
      <c r="R211" s="8">
        <f>IF(Table1[[#This Row],[Delivery Delay]]&gt;0,1,0)</f>
        <v>0</v>
      </c>
      <c r="S211" s="6">
        <f>(Table1[[#This Row],[OTD]]*0.4)+(Table1[[#This Row],[Quality Rate]]*0.3)+(Table1[[#This Row],[Fill Rate]]*0.2)+(Table1[[#This Row],[Cost Score]]*0.1)</f>
        <v>0.88508212089746796</v>
      </c>
      <c r="T211">
        <f>MAX(Table1[OTD])</f>
        <v>1</v>
      </c>
      <c r="U211" t="str">
        <f>IF(Table1[[#This Row],[Vendor Score]]&gt;=90%,"Excellent",IF(Table1[[#This Row],[Vendor Score]]&gt;=75%,"Moderate","Poor"))</f>
        <v>Moderate</v>
      </c>
    </row>
    <row r="212" spans="1:21" x14ac:dyDescent="0.35">
      <c r="A212" t="s">
        <v>537</v>
      </c>
      <c r="B212" t="s">
        <v>59</v>
      </c>
      <c r="C212" t="s">
        <v>60</v>
      </c>
      <c r="D212" t="s">
        <v>33</v>
      </c>
      <c r="E212" t="s">
        <v>24</v>
      </c>
      <c r="F212">
        <v>4445</v>
      </c>
      <c r="G212">
        <v>4432</v>
      </c>
      <c r="H212" s="1">
        <v>46153</v>
      </c>
      <c r="I212" s="1">
        <v>46153</v>
      </c>
      <c r="J212">
        <v>271</v>
      </c>
      <c r="K212">
        <v>126</v>
      </c>
      <c r="L212">
        <f t="shared" si="15"/>
        <v>0</v>
      </c>
      <c r="M212" s="6">
        <f t="shared" si="16"/>
        <v>1</v>
      </c>
      <c r="N212" s="6">
        <f t="shared" si="17"/>
        <v>0.99707536557930254</v>
      </c>
      <c r="O212" s="6">
        <f t="shared" si="18"/>
        <v>0.93885379061371843</v>
      </c>
      <c r="P212">
        <f t="shared" si="19"/>
        <v>558432</v>
      </c>
      <c r="Q212" s="6">
        <f>MIN(Table1[Unit Price])/Table1[[#This Row],[Unit Price]]</f>
        <v>3.968253968253968E-2</v>
      </c>
      <c r="R212" s="8">
        <f>IF(Table1[[#This Row],[Delivery Delay]]&gt;0,1,0)</f>
        <v>0</v>
      </c>
      <c r="S212" s="6">
        <f>(Table1[[#This Row],[OTD]]*0.4)+(Table1[[#This Row],[Quality Rate]]*0.3)+(Table1[[#This Row],[Fill Rate]]*0.2)+(Table1[[#This Row],[Cost Score]]*0.1)</f>
        <v>0.88503946426822999</v>
      </c>
      <c r="T212">
        <f>MAX(Table1[OTD])</f>
        <v>1</v>
      </c>
      <c r="U212" t="str">
        <f>IF(Table1[[#This Row],[Vendor Score]]&gt;=90%,"Excellent",IF(Table1[[#This Row],[Vendor Score]]&gt;=75%,"Moderate","Poor"))</f>
        <v>Moderate</v>
      </c>
    </row>
    <row r="213" spans="1:21" x14ac:dyDescent="0.35">
      <c r="A213" t="s">
        <v>129</v>
      </c>
      <c r="B213" t="s">
        <v>30</v>
      </c>
      <c r="C213" t="s">
        <v>31</v>
      </c>
      <c r="D213" t="s">
        <v>19</v>
      </c>
      <c r="E213" t="s">
        <v>63</v>
      </c>
      <c r="F213">
        <v>4151</v>
      </c>
      <c r="G213">
        <v>3913</v>
      </c>
      <c r="H213" s="1">
        <v>46069</v>
      </c>
      <c r="I213" s="1">
        <v>46069</v>
      </c>
      <c r="J213">
        <v>123</v>
      </c>
      <c r="K213">
        <v>85</v>
      </c>
      <c r="L213">
        <f t="shared" si="15"/>
        <v>0</v>
      </c>
      <c r="M213" s="6">
        <f t="shared" si="16"/>
        <v>1</v>
      </c>
      <c r="N213" s="6">
        <f t="shared" si="17"/>
        <v>0.94266441821247893</v>
      </c>
      <c r="O213" s="6">
        <f t="shared" si="18"/>
        <v>0.96856631740352672</v>
      </c>
      <c r="P213">
        <f t="shared" si="19"/>
        <v>332605</v>
      </c>
      <c r="Q213" s="6">
        <f>MIN(Table1[Unit Price])/Table1[[#This Row],[Unit Price]]</f>
        <v>5.8823529411764705E-2</v>
      </c>
      <c r="R213" s="8">
        <f>IF(Table1[[#This Row],[Delivery Delay]]&gt;0,1,0)</f>
        <v>0</v>
      </c>
      <c r="S213" s="6">
        <f>(Table1[[#This Row],[OTD]]*0.4)+(Table1[[#This Row],[Quality Rate]]*0.3)+(Table1[[#This Row],[Fill Rate]]*0.2)+(Table1[[#This Row],[Cost Score]]*0.1)</f>
        <v>0.88498513180473026</v>
      </c>
      <c r="T213">
        <f>MAX(Table1[OTD])</f>
        <v>1</v>
      </c>
      <c r="U213" t="str">
        <f>IF(Table1[[#This Row],[Vendor Score]]&gt;=90%,"Excellent",IF(Table1[[#This Row],[Vendor Score]]&gt;=75%,"Moderate","Poor"))</f>
        <v>Moderate</v>
      </c>
    </row>
    <row r="214" spans="1:21" x14ac:dyDescent="0.35">
      <c r="A214" t="s">
        <v>137</v>
      </c>
      <c r="B214" t="s">
        <v>30</v>
      </c>
      <c r="C214" t="s">
        <v>31</v>
      </c>
      <c r="D214" t="s">
        <v>33</v>
      </c>
      <c r="E214" t="s">
        <v>34</v>
      </c>
      <c r="F214">
        <v>3941</v>
      </c>
      <c r="G214">
        <v>3746</v>
      </c>
      <c r="H214" s="1">
        <v>46188</v>
      </c>
      <c r="I214" s="1">
        <v>46187</v>
      </c>
      <c r="J214">
        <v>114</v>
      </c>
      <c r="K214">
        <v>125</v>
      </c>
      <c r="L214">
        <f t="shared" si="15"/>
        <v>-1</v>
      </c>
      <c r="M214" s="6">
        <f t="shared" si="16"/>
        <v>1</v>
      </c>
      <c r="N214" s="6">
        <f t="shared" si="17"/>
        <v>0.95052017254503929</v>
      </c>
      <c r="O214" s="6">
        <f t="shared" si="18"/>
        <v>0.9695675387079552</v>
      </c>
      <c r="P214">
        <f t="shared" si="19"/>
        <v>468250</v>
      </c>
      <c r="Q214" s="6">
        <f>MIN(Table1[Unit Price])/Table1[[#This Row],[Unit Price]]</f>
        <v>0.04</v>
      </c>
      <c r="R214" s="8">
        <f>IF(Table1[[#This Row],[Delivery Delay]]&gt;0,1,0)</f>
        <v>0</v>
      </c>
      <c r="S214" s="6">
        <f>(Table1[[#This Row],[OTD]]*0.4)+(Table1[[#This Row],[Quality Rate]]*0.3)+(Table1[[#This Row],[Fill Rate]]*0.2)+(Table1[[#This Row],[Cost Score]]*0.1)</f>
        <v>0.88497429612139444</v>
      </c>
      <c r="T214">
        <f>MAX(Table1[OTD])</f>
        <v>1</v>
      </c>
      <c r="U214" t="str">
        <f>IF(Table1[[#This Row],[Vendor Score]]&gt;=90%,"Excellent",IF(Table1[[#This Row],[Vendor Score]]&gt;=75%,"Moderate","Poor"))</f>
        <v>Moderate</v>
      </c>
    </row>
    <row r="215" spans="1:21" x14ac:dyDescent="0.35">
      <c r="A215" t="s">
        <v>452</v>
      </c>
      <c r="B215" t="s">
        <v>42</v>
      </c>
      <c r="C215" t="s">
        <v>43</v>
      </c>
      <c r="D215" t="s">
        <v>55</v>
      </c>
      <c r="E215" t="s">
        <v>15</v>
      </c>
      <c r="F215">
        <v>2285</v>
      </c>
      <c r="G215">
        <v>2116</v>
      </c>
      <c r="H215" s="1">
        <v>46374</v>
      </c>
      <c r="I215" s="1">
        <v>46372</v>
      </c>
      <c r="J215">
        <v>22</v>
      </c>
      <c r="K215">
        <v>175</v>
      </c>
      <c r="L215">
        <f t="shared" si="15"/>
        <v>-2</v>
      </c>
      <c r="M215" s="6">
        <f t="shared" si="16"/>
        <v>1</v>
      </c>
      <c r="N215" s="6">
        <f t="shared" si="17"/>
        <v>0.92603938730853397</v>
      </c>
      <c r="O215" s="6">
        <f t="shared" si="18"/>
        <v>0.9896030245746692</v>
      </c>
      <c r="P215">
        <f t="shared" si="19"/>
        <v>370300</v>
      </c>
      <c r="Q215" s="6">
        <f>MIN(Table1[Unit Price])/Table1[[#This Row],[Unit Price]]</f>
        <v>2.8571428571428571E-2</v>
      </c>
      <c r="R215" s="8">
        <f>IF(Table1[[#This Row],[Delivery Delay]]&gt;0,1,0)</f>
        <v>0</v>
      </c>
      <c r="S215" s="6">
        <f>(Table1[[#This Row],[OTD]]*0.4)+(Table1[[#This Row],[Quality Rate]]*0.3)+(Table1[[#This Row],[Fill Rate]]*0.2)+(Table1[[#This Row],[Cost Score]]*0.1)</f>
        <v>0.88494592769125036</v>
      </c>
      <c r="T215">
        <f>MAX(Table1[OTD])</f>
        <v>1</v>
      </c>
      <c r="U215" t="str">
        <f>IF(Table1[[#This Row],[Vendor Score]]&gt;=90%,"Excellent",IF(Table1[[#This Row],[Vendor Score]]&gt;=75%,"Moderate","Poor"))</f>
        <v>Moderate</v>
      </c>
    </row>
    <row r="216" spans="1:21" x14ac:dyDescent="0.35">
      <c r="A216" t="s">
        <v>190</v>
      </c>
      <c r="B216" t="s">
        <v>59</v>
      </c>
      <c r="C216" t="s">
        <v>60</v>
      </c>
      <c r="D216" t="s">
        <v>14</v>
      </c>
      <c r="E216" t="s">
        <v>52</v>
      </c>
      <c r="F216">
        <v>4621</v>
      </c>
      <c r="G216">
        <v>4539</v>
      </c>
      <c r="H216" s="1">
        <v>46092</v>
      </c>
      <c r="I216" s="1">
        <v>46090</v>
      </c>
      <c r="J216">
        <v>274</v>
      </c>
      <c r="K216">
        <v>76</v>
      </c>
      <c r="L216">
        <f t="shared" si="15"/>
        <v>-2</v>
      </c>
      <c r="M216" s="6">
        <f t="shared" si="16"/>
        <v>1</v>
      </c>
      <c r="N216" s="6">
        <f t="shared" si="17"/>
        <v>0.98225492317680152</v>
      </c>
      <c r="O216" s="6">
        <f t="shared" si="18"/>
        <v>0.93963428067856358</v>
      </c>
      <c r="P216">
        <f t="shared" si="19"/>
        <v>344964</v>
      </c>
      <c r="Q216" s="6">
        <f>MIN(Table1[Unit Price])/Table1[[#This Row],[Unit Price]]</f>
        <v>6.5789473684210523E-2</v>
      </c>
      <c r="R216" s="8">
        <f>IF(Table1[[#This Row],[Delivery Delay]]&gt;0,1,0)</f>
        <v>0</v>
      </c>
      <c r="S216" s="6">
        <f>(Table1[[#This Row],[OTD]]*0.4)+(Table1[[#This Row],[Quality Rate]]*0.3)+(Table1[[#This Row],[Fill Rate]]*0.2)+(Table1[[#This Row],[Cost Score]]*0.1)</f>
        <v>0.8849202162073504</v>
      </c>
      <c r="T216">
        <f>MAX(Table1[OTD])</f>
        <v>1</v>
      </c>
      <c r="U216" t="str">
        <f>IF(Table1[[#This Row],[Vendor Score]]&gt;=90%,"Excellent",IF(Table1[[#This Row],[Vendor Score]]&gt;=75%,"Moderate","Poor"))</f>
        <v>Moderate</v>
      </c>
    </row>
    <row r="217" spans="1:21" x14ac:dyDescent="0.35">
      <c r="A217" t="s">
        <v>207</v>
      </c>
      <c r="B217" t="s">
        <v>59</v>
      </c>
      <c r="C217" t="s">
        <v>60</v>
      </c>
      <c r="D217" t="s">
        <v>19</v>
      </c>
      <c r="E217" t="s">
        <v>20</v>
      </c>
      <c r="F217">
        <v>3206</v>
      </c>
      <c r="G217">
        <v>3117</v>
      </c>
      <c r="H217" s="1">
        <v>46221</v>
      </c>
      <c r="I217" s="1">
        <v>46220</v>
      </c>
      <c r="J217">
        <v>192</v>
      </c>
      <c r="K217">
        <v>56</v>
      </c>
      <c r="L217">
        <f t="shared" si="15"/>
        <v>-1</v>
      </c>
      <c r="M217" s="6">
        <f t="shared" si="16"/>
        <v>1</v>
      </c>
      <c r="N217" s="6">
        <f t="shared" si="17"/>
        <v>0.97223955084217095</v>
      </c>
      <c r="O217" s="6">
        <f t="shared" si="18"/>
        <v>0.93840230991337825</v>
      </c>
      <c r="P217">
        <f t="shared" si="19"/>
        <v>174552</v>
      </c>
      <c r="Q217" s="6">
        <f>MIN(Table1[Unit Price])/Table1[[#This Row],[Unit Price]]</f>
        <v>8.9285714285714288E-2</v>
      </c>
      <c r="R217" s="8">
        <f>IF(Table1[[#This Row],[Delivery Delay]]&gt;0,1,0)</f>
        <v>0</v>
      </c>
      <c r="S217" s="6">
        <f>(Table1[[#This Row],[OTD]]*0.4)+(Table1[[#This Row],[Quality Rate]]*0.3)+(Table1[[#This Row],[Fill Rate]]*0.2)+(Table1[[#This Row],[Cost Score]]*0.1)</f>
        <v>0.88489717457101902</v>
      </c>
      <c r="T217">
        <f>MAX(Table1[OTD])</f>
        <v>1</v>
      </c>
      <c r="U217" t="str">
        <f>IF(Table1[[#This Row],[Vendor Score]]&gt;=90%,"Excellent",IF(Table1[[#This Row],[Vendor Score]]&gt;=75%,"Moderate","Poor"))</f>
        <v>Moderate</v>
      </c>
    </row>
    <row r="218" spans="1:21" x14ac:dyDescent="0.35">
      <c r="A218" t="s">
        <v>404</v>
      </c>
      <c r="B218" t="s">
        <v>17</v>
      </c>
      <c r="C218" t="s">
        <v>18</v>
      </c>
      <c r="D218" t="s">
        <v>14</v>
      </c>
      <c r="E218" t="s">
        <v>24</v>
      </c>
      <c r="F218">
        <v>4333</v>
      </c>
      <c r="G218">
        <v>4223</v>
      </c>
      <c r="H218" s="1">
        <v>46172</v>
      </c>
      <c r="I218" s="1">
        <v>46170</v>
      </c>
      <c r="J218">
        <v>172</v>
      </c>
      <c r="K218">
        <v>232</v>
      </c>
      <c r="L218">
        <f t="shared" si="15"/>
        <v>-2</v>
      </c>
      <c r="M218" s="6">
        <f t="shared" si="16"/>
        <v>1</v>
      </c>
      <c r="N218" s="6">
        <f t="shared" si="17"/>
        <v>0.97461343180244631</v>
      </c>
      <c r="O218" s="6">
        <f t="shared" si="18"/>
        <v>0.95927066066777178</v>
      </c>
      <c r="P218">
        <f t="shared" si="19"/>
        <v>979736</v>
      </c>
      <c r="Q218" s="6">
        <f>MIN(Table1[Unit Price])/Table1[[#This Row],[Unit Price]]</f>
        <v>2.1551724137931036E-2</v>
      </c>
      <c r="R218" s="8">
        <f>IF(Table1[[#This Row],[Delivery Delay]]&gt;0,1,0)</f>
        <v>0</v>
      </c>
      <c r="S218" s="6">
        <f>(Table1[[#This Row],[OTD]]*0.4)+(Table1[[#This Row],[Quality Rate]]*0.3)+(Table1[[#This Row],[Fill Rate]]*0.2)+(Table1[[#This Row],[Cost Score]]*0.1)</f>
        <v>0.88485905697461398</v>
      </c>
      <c r="T218">
        <f>MAX(Table1[OTD])</f>
        <v>1</v>
      </c>
      <c r="U218" t="str">
        <f>IF(Table1[[#This Row],[Vendor Score]]&gt;=90%,"Excellent",IF(Table1[[#This Row],[Vendor Score]]&gt;=75%,"Moderate","Poor"))</f>
        <v>Moderate</v>
      </c>
    </row>
    <row r="219" spans="1:21" x14ac:dyDescent="0.35">
      <c r="A219" t="s">
        <v>258</v>
      </c>
      <c r="B219" t="s">
        <v>38</v>
      </c>
      <c r="C219" t="s">
        <v>39</v>
      </c>
      <c r="D219" t="s">
        <v>33</v>
      </c>
      <c r="E219" t="s">
        <v>96</v>
      </c>
      <c r="F219">
        <v>3765</v>
      </c>
      <c r="G219">
        <v>3550</v>
      </c>
      <c r="H219" s="1">
        <v>46122</v>
      </c>
      <c r="I219" s="1">
        <v>46120</v>
      </c>
      <c r="J219">
        <v>74</v>
      </c>
      <c r="K219">
        <v>198</v>
      </c>
      <c r="L219">
        <f t="shared" si="15"/>
        <v>-2</v>
      </c>
      <c r="M219" s="6">
        <f t="shared" si="16"/>
        <v>1</v>
      </c>
      <c r="N219" s="6">
        <f t="shared" si="17"/>
        <v>0.94289508632138119</v>
      </c>
      <c r="O219" s="6">
        <f t="shared" si="18"/>
        <v>0.97915492957746475</v>
      </c>
      <c r="P219">
        <f t="shared" si="19"/>
        <v>702900</v>
      </c>
      <c r="Q219" s="6">
        <f>MIN(Table1[Unit Price])/Table1[[#This Row],[Unit Price]]</f>
        <v>2.5252525252525252E-2</v>
      </c>
      <c r="R219" s="8">
        <f>IF(Table1[[#This Row],[Delivery Delay]]&gt;0,1,0)</f>
        <v>0</v>
      </c>
      <c r="S219" s="6">
        <f>(Table1[[#This Row],[OTD]]*0.4)+(Table1[[#This Row],[Quality Rate]]*0.3)+(Table1[[#This Row],[Fill Rate]]*0.2)+(Table1[[#This Row],[Cost Score]]*0.1)</f>
        <v>0.88485074866276825</v>
      </c>
      <c r="T219">
        <f>MAX(Table1[OTD])</f>
        <v>1</v>
      </c>
      <c r="U219" t="str">
        <f>IF(Table1[[#This Row],[Vendor Score]]&gt;=90%,"Excellent",IF(Table1[[#This Row],[Vendor Score]]&gt;=75%,"Moderate","Poor"))</f>
        <v>Moderate</v>
      </c>
    </row>
    <row r="220" spans="1:21" x14ac:dyDescent="0.35">
      <c r="A220" t="s">
        <v>422</v>
      </c>
      <c r="B220" t="s">
        <v>59</v>
      </c>
      <c r="C220" t="s">
        <v>60</v>
      </c>
      <c r="D220" t="s">
        <v>14</v>
      </c>
      <c r="E220" t="s">
        <v>63</v>
      </c>
      <c r="F220">
        <v>2036</v>
      </c>
      <c r="G220">
        <v>2034</v>
      </c>
      <c r="H220" s="1">
        <v>46074</v>
      </c>
      <c r="I220" s="1">
        <v>46073</v>
      </c>
      <c r="J220">
        <v>124</v>
      </c>
      <c r="K220">
        <v>151</v>
      </c>
      <c r="L220">
        <f t="shared" si="15"/>
        <v>-1</v>
      </c>
      <c r="M220" s="6">
        <f t="shared" si="16"/>
        <v>1</v>
      </c>
      <c r="N220" s="6">
        <f t="shared" si="17"/>
        <v>0.99901768172888017</v>
      </c>
      <c r="O220" s="6">
        <f t="shared" si="18"/>
        <v>0.93903638151425761</v>
      </c>
      <c r="P220">
        <f t="shared" si="19"/>
        <v>307134</v>
      </c>
      <c r="Q220" s="6">
        <f>MIN(Table1[Unit Price])/Table1[[#This Row],[Unit Price]]</f>
        <v>3.3112582781456956E-2</v>
      </c>
      <c r="R220" s="8">
        <f>IF(Table1[[#This Row],[Delivery Delay]]&gt;0,1,0)</f>
        <v>0</v>
      </c>
      <c r="S220" s="6">
        <f>(Table1[[#This Row],[OTD]]*0.4)+(Table1[[#This Row],[Quality Rate]]*0.3)+(Table1[[#This Row],[Fill Rate]]*0.2)+(Table1[[#This Row],[Cost Score]]*0.1)</f>
        <v>0.88482570907819902</v>
      </c>
      <c r="T220">
        <f>MAX(Table1[OTD])</f>
        <v>1</v>
      </c>
      <c r="U220" t="str">
        <f>IF(Table1[[#This Row],[Vendor Score]]&gt;=90%,"Excellent",IF(Table1[[#This Row],[Vendor Score]]&gt;=75%,"Moderate","Poor"))</f>
        <v>Moderate</v>
      </c>
    </row>
    <row r="221" spans="1:21" x14ac:dyDescent="0.35">
      <c r="A221" t="s">
        <v>472</v>
      </c>
      <c r="B221" t="s">
        <v>30</v>
      </c>
      <c r="C221" t="s">
        <v>31</v>
      </c>
      <c r="D221" t="s">
        <v>14</v>
      </c>
      <c r="E221" t="s">
        <v>40</v>
      </c>
      <c r="F221">
        <v>4248</v>
      </c>
      <c r="G221">
        <v>3995</v>
      </c>
      <c r="H221" s="1">
        <v>46264</v>
      </c>
      <c r="I221" s="1">
        <v>46263</v>
      </c>
      <c r="J221">
        <v>120</v>
      </c>
      <c r="K221">
        <v>88</v>
      </c>
      <c r="L221">
        <f t="shared" si="15"/>
        <v>-1</v>
      </c>
      <c r="M221" s="6">
        <f t="shared" si="16"/>
        <v>1</v>
      </c>
      <c r="N221" s="6">
        <f t="shared" si="17"/>
        <v>0.94044256120527303</v>
      </c>
      <c r="O221" s="6">
        <f t="shared" si="18"/>
        <v>0.96996245306633289</v>
      </c>
      <c r="P221">
        <f t="shared" si="19"/>
        <v>351560</v>
      </c>
      <c r="Q221" s="6">
        <f>MIN(Table1[Unit Price])/Table1[[#This Row],[Unit Price]]</f>
        <v>5.6818181818181816E-2</v>
      </c>
      <c r="R221" s="8">
        <f>IF(Table1[[#This Row],[Delivery Delay]]&gt;0,1,0)</f>
        <v>0</v>
      </c>
      <c r="S221" s="6">
        <f>(Table1[[#This Row],[OTD]]*0.4)+(Table1[[#This Row],[Quality Rate]]*0.3)+(Table1[[#This Row],[Fill Rate]]*0.2)+(Table1[[#This Row],[Cost Score]]*0.1)</f>
        <v>0.88475906634277268</v>
      </c>
      <c r="T221">
        <f>MAX(Table1[OTD])</f>
        <v>1</v>
      </c>
      <c r="U221" t="str">
        <f>IF(Table1[[#This Row],[Vendor Score]]&gt;=90%,"Excellent",IF(Table1[[#This Row],[Vendor Score]]&gt;=75%,"Moderate","Poor"))</f>
        <v>Moderate</v>
      </c>
    </row>
    <row r="222" spans="1:21" x14ac:dyDescent="0.35">
      <c r="A222" t="s">
        <v>235</v>
      </c>
      <c r="B222" t="s">
        <v>22</v>
      </c>
      <c r="C222" t="s">
        <v>23</v>
      </c>
      <c r="D222" t="s">
        <v>19</v>
      </c>
      <c r="E222" t="s">
        <v>40</v>
      </c>
      <c r="F222">
        <v>3969</v>
      </c>
      <c r="G222">
        <v>3938</v>
      </c>
      <c r="H222" s="1">
        <v>46247</v>
      </c>
      <c r="I222" s="1">
        <v>46245</v>
      </c>
      <c r="J222">
        <v>279</v>
      </c>
      <c r="K222">
        <v>67</v>
      </c>
      <c r="L222">
        <f t="shared" si="15"/>
        <v>-2</v>
      </c>
      <c r="M222" s="6">
        <f t="shared" si="16"/>
        <v>1</v>
      </c>
      <c r="N222" s="6">
        <f t="shared" si="17"/>
        <v>0.99218946837994459</v>
      </c>
      <c r="O222" s="6">
        <f t="shared" si="18"/>
        <v>0.92915185373285936</v>
      </c>
      <c r="P222">
        <f t="shared" si="19"/>
        <v>263846</v>
      </c>
      <c r="Q222" s="6">
        <f>MIN(Table1[Unit Price])/Table1[[#This Row],[Unit Price]]</f>
        <v>7.4626865671641784E-2</v>
      </c>
      <c r="R222" s="8">
        <f>IF(Table1[[#This Row],[Delivery Delay]]&gt;0,1,0)</f>
        <v>0</v>
      </c>
      <c r="S222" s="6">
        <f>(Table1[[#This Row],[OTD]]*0.4)+(Table1[[#This Row],[Quality Rate]]*0.3)+(Table1[[#This Row],[Fill Rate]]*0.2)+(Table1[[#This Row],[Cost Score]]*0.1)</f>
        <v>0.88464613636301104</v>
      </c>
      <c r="T222">
        <f>MAX(Table1[OTD])</f>
        <v>1</v>
      </c>
      <c r="U222" t="str">
        <f>IF(Table1[[#This Row],[Vendor Score]]&gt;=90%,"Excellent",IF(Table1[[#This Row],[Vendor Score]]&gt;=75%,"Moderate","Poor"))</f>
        <v>Moderate</v>
      </c>
    </row>
    <row r="223" spans="1:21" x14ac:dyDescent="0.35">
      <c r="A223" t="s">
        <v>381</v>
      </c>
      <c r="B223" t="s">
        <v>17</v>
      </c>
      <c r="C223" t="s">
        <v>18</v>
      </c>
      <c r="D223" t="s">
        <v>14</v>
      </c>
      <c r="E223" t="s">
        <v>28</v>
      </c>
      <c r="F223">
        <v>3511</v>
      </c>
      <c r="G223">
        <v>3403</v>
      </c>
      <c r="H223" s="1">
        <v>46266</v>
      </c>
      <c r="I223" s="1">
        <v>46265</v>
      </c>
      <c r="J223">
        <v>138</v>
      </c>
      <c r="K223">
        <v>169</v>
      </c>
      <c r="L223">
        <f t="shared" si="15"/>
        <v>-1</v>
      </c>
      <c r="M223" s="6">
        <f t="shared" si="16"/>
        <v>1</v>
      </c>
      <c r="N223" s="6">
        <f t="shared" si="17"/>
        <v>0.96923953289661069</v>
      </c>
      <c r="O223" s="6">
        <f t="shared" si="18"/>
        <v>0.95944754628269169</v>
      </c>
      <c r="P223">
        <f t="shared" si="19"/>
        <v>575107</v>
      </c>
      <c r="Q223" s="6">
        <f>MIN(Table1[Unit Price])/Table1[[#This Row],[Unit Price]]</f>
        <v>2.9585798816568046E-2</v>
      </c>
      <c r="R223" s="8">
        <f>IF(Table1[[#This Row],[Delivery Delay]]&gt;0,1,0)</f>
        <v>0</v>
      </c>
      <c r="S223" s="6">
        <f>(Table1[[#This Row],[OTD]]*0.4)+(Table1[[#This Row],[Quality Rate]]*0.3)+(Table1[[#This Row],[Fill Rate]]*0.2)+(Table1[[#This Row],[Cost Score]]*0.1)</f>
        <v>0.88464075034578649</v>
      </c>
      <c r="T223">
        <f>MAX(Table1[OTD])</f>
        <v>1</v>
      </c>
      <c r="U223" t="str">
        <f>IF(Table1[[#This Row],[Vendor Score]]&gt;=90%,"Excellent",IF(Table1[[#This Row],[Vendor Score]]&gt;=75%,"Moderate","Poor"))</f>
        <v>Moderate</v>
      </c>
    </row>
    <row r="224" spans="1:21" x14ac:dyDescent="0.35">
      <c r="A224" t="s">
        <v>270</v>
      </c>
      <c r="B224" t="s">
        <v>17</v>
      </c>
      <c r="C224" t="s">
        <v>18</v>
      </c>
      <c r="D224" t="s">
        <v>14</v>
      </c>
      <c r="E224" t="s">
        <v>52</v>
      </c>
      <c r="F224">
        <v>1161</v>
      </c>
      <c r="G224">
        <v>1128</v>
      </c>
      <c r="H224" s="1">
        <v>46091</v>
      </c>
      <c r="I224" s="1">
        <v>46091</v>
      </c>
      <c r="J224">
        <v>46</v>
      </c>
      <c r="K224">
        <v>203</v>
      </c>
      <c r="L224">
        <f t="shared" si="15"/>
        <v>0</v>
      </c>
      <c r="M224" s="6">
        <f t="shared" si="16"/>
        <v>1</v>
      </c>
      <c r="N224" s="6">
        <f t="shared" si="17"/>
        <v>0.9715762273901809</v>
      </c>
      <c r="O224" s="6">
        <f t="shared" si="18"/>
        <v>0.95921985815602839</v>
      </c>
      <c r="P224">
        <f t="shared" si="19"/>
        <v>228984</v>
      </c>
      <c r="Q224" s="6">
        <f>MIN(Table1[Unit Price])/Table1[[#This Row],[Unit Price]]</f>
        <v>2.4630541871921183E-2</v>
      </c>
      <c r="R224" s="8">
        <f>IF(Table1[[#This Row],[Delivery Delay]]&gt;0,1,0)</f>
        <v>0</v>
      </c>
      <c r="S224" s="6">
        <f>(Table1[[#This Row],[OTD]]*0.4)+(Table1[[#This Row],[Quality Rate]]*0.3)+(Table1[[#This Row],[Fill Rate]]*0.2)+(Table1[[#This Row],[Cost Score]]*0.1)</f>
        <v>0.88454425711203677</v>
      </c>
      <c r="T224">
        <f>MAX(Table1[OTD])</f>
        <v>1</v>
      </c>
      <c r="U224" t="str">
        <f>IF(Table1[[#This Row],[Vendor Score]]&gt;=90%,"Excellent",IF(Table1[[#This Row],[Vendor Score]]&gt;=75%,"Moderate","Poor"))</f>
        <v>Moderate</v>
      </c>
    </row>
    <row r="225" spans="1:21" x14ac:dyDescent="0.35">
      <c r="A225" t="s">
        <v>187</v>
      </c>
      <c r="B225" t="s">
        <v>17</v>
      </c>
      <c r="C225" t="s">
        <v>18</v>
      </c>
      <c r="D225" t="s">
        <v>55</v>
      </c>
      <c r="E225" t="s">
        <v>57</v>
      </c>
      <c r="F225">
        <v>867</v>
      </c>
      <c r="G225">
        <v>831</v>
      </c>
      <c r="H225" s="1">
        <v>46316</v>
      </c>
      <c r="I225" s="1">
        <v>46316</v>
      </c>
      <c r="J225">
        <v>34</v>
      </c>
      <c r="K225">
        <v>100</v>
      </c>
      <c r="L225">
        <f t="shared" si="15"/>
        <v>0</v>
      </c>
      <c r="M225" s="6">
        <f t="shared" si="16"/>
        <v>1</v>
      </c>
      <c r="N225" s="6">
        <f t="shared" si="17"/>
        <v>0.95847750865051906</v>
      </c>
      <c r="O225" s="6">
        <f t="shared" si="18"/>
        <v>0.95908543922984357</v>
      </c>
      <c r="P225">
        <f t="shared" si="19"/>
        <v>83100</v>
      </c>
      <c r="Q225" s="6">
        <f>MIN(Table1[Unit Price])/Table1[[#This Row],[Unit Price]]</f>
        <v>0.05</v>
      </c>
      <c r="R225" s="8">
        <f>IF(Table1[[#This Row],[Delivery Delay]]&gt;0,1,0)</f>
        <v>0</v>
      </c>
      <c r="S225" s="6">
        <f>(Table1[[#This Row],[OTD]]*0.4)+(Table1[[#This Row],[Quality Rate]]*0.3)+(Table1[[#This Row],[Fill Rate]]*0.2)+(Table1[[#This Row],[Cost Score]]*0.1)</f>
        <v>0.88442113349905693</v>
      </c>
      <c r="T225">
        <f>MAX(Table1[OTD])</f>
        <v>1</v>
      </c>
      <c r="U225" t="str">
        <f>IF(Table1[[#This Row],[Vendor Score]]&gt;=90%,"Excellent",IF(Table1[[#This Row],[Vendor Score]]&gt;=75%,"Moderate","Poor"))</f>
        <v>Moderate</v>
      </c>
    </row>
    <row r="226" spans="1:21" x14ac:dyDescent="0.35">
      <c r="A226" t="s">
        <v>523</v>
      </c>
      <c r="B226" t="s">
        <v>30</v>
      </c>
      <c r="C226" t="s">
        <v>31</v>
      </c>
      <c r="D226" t="s">
        <v>19</v>
      </c>
      <c r="E226" t="s">
        <v>63</v>
      </c>
      <c r="F226">
        <v>1645</v>
      </c>
      <c r="G226">
        <v>1580</v>
      </c>
      <c r="H226" s="1">
        <v>46055</v>
      </c>
      <c r="I226" s="1">
        <v>46053</v>
      </c>
      <c r="J226">
        <v>53</v>
      </c>
      <c r="K226">
        <v>219</v>
      </c>
      <c r="L226">
        <f t="shared" si="15"/>
        <v>-2</v>
      </c>
      <c r="M226" s="6">
        <f t="shared" si="16"/>
        <v>1</v>
      </c>
      <c r="N226" s="6">
        <f t="shared" si="17"/>
        <v>0.96048632218844987</v>
      </c>
      <c r="O226" s="6">
        <f t="shared" si="18"/>
        <v>0.96645569620253169</v>
      </c>
      <c r="P226">
        <f t="shared" si="19"/>
        <v>346020</v>
      </c>
      <c r="Q226" s="6">
        <f>MIN(Table1[Unit Price])/Table1[[#This Row],[Unit Price]]</f>
        <v>2.2831050228310501E-2</v>
      </c>
      <c r="R226" s="8">
        <f>IF(Table1[[#This Row],[Delivery Delay]]&gt;0,1,0)</f>
        <v>0</v>
      </c>
      <c r="S226" s="6">
        <f>(Table1[[#This Row],[OTD]]*0.4)+(Table1[[#This Row],[Quality Rate]]*0.3)+(Table1[[#This Row],[Fill Rate]]*0.2)+(Table1[[#This Row],[Cost Score]]*0.1)</f>
        <v>0.88431707832128048</v>
      </c>
      <c r="T226">
        <f>MAX(Table1[OTD])</f>
        <v>1</v>
      </c>
      <c r="U226" t="str">
        <f>IF(Table1[[#This Row],[Vendor Score]]&gt;=90%,"Excellent",IF(Table1[[#This Row],[Vendor Score]]&gt;=75%,"Moderate","Poor"))</f>
        <v>Moderate</v>
      </c>
    </row>
    <row r="227" spans="1:21" x14ac:dyDescent="0.35">
      <c r="A227" t="s">
        <v>243</v>
      </c>
      <c r="B227" t="s">
        <v>17</v>
      </c>
      <c r="C227" t="s">
        <v>18</v>
      </c>
      <c r="D227" t="s">
        <v>55</v>
      </c>
      <c r="E227" t="s">
        <v>24</v>
      </c>
      <c r="F227">
        <v>3023</v>
      </c>
      <c r="G227">
        <v>2921</v>
      </c>
      <c r="H227" s="1">
        <v>46168</v>
      </c>
      <c r="I227" s="1">
        <v>46168</v>
      </c>
      <c r="J227">
        <v>120</v>
      </c>
      <c r="K227">
        <v>154</v>
      </c>
      <c r="L227">
        <f t="shared" si="15"/>
        <v>0</v>
      </c>
      <c r="M227" s="6">
        <f t="shared" si="16"/>
        <v>1</v>
      </c>
      <c r="N227" s="6">
        <f t="shared" si="17"/>
        <v>0.96625868342705923</v>
      </c>
      <c r="O227" s="6">
        <f t="shared" si="18"/>
        <v>0.95891817870592266</v>
      </c>
      <c r="P227">
        <f t="shared" si="19"/>
        <v>449834</v>
      </c>
      <c r="Q227" s="6">
        <f>MIN(Table1[Unit Price])/Table1[[#This Row],[Unit Price]]</f>
        <v>3.2467532467532464E-2</v>
      </c>
      <c r="R227" s="8">
        <f>IF(Table1[[#This Row],[Delivery Delay]]&gt;0,1,0)</f>
        <v>0</v>
      </c>
      <c r="S227" s="6">
        <f>(Table1[[#This Row],[OTD]]*0.4)+(Table1[[#This Row],[Quality Rate]]*0.3)+(Table1[[#This Row],[Fill Rate]]*0.2)+(Table1[[#This Row],[Cost Score]]*0.1)</f>
        <v>0.88417394354394196</v>
      </c>
      <c r="T227">
        <f>MAX(Table1[OTD])</f>
        <v>1</v>
      </c>
      <c r="U227" t="str">
        <f>IF(Table1[[#This Row],[Vendor Score]]&gt;=90%,"Excellent",IF(Table1[[#This Row],[Vendor Score]]&gt;=75%,"Moderate","Poor"))</f>
        <v>Moderate</v>
      </c>
    </row>
    <row r="228" spans="1:21" x14ac:dyDescent="0.35">
      <c r="A228" t="s">
        <v>363</v>
      </c>
      <c r="B228" t="s">
        <v>78</v>
      </c>
      <c r="C228" t="s">
        <v>79</v>
      </c>
      <c r="D228" t="s">
        <v>14</v>
      </c>
      <c r="E228" t="s">
        <v>63</v>
      </c>
      <c r="F228">
        <v>1073</v>
      </c>
      <c r="G228">
        <v>1044</v>
      </c>
      <c r="H228" s="1">
        <v>46080</v>
      </c>
      <c r="I228" s="1">
        <v>46078</v>
      </c>
      <c r="J228">
        <v>54</v>
      </c>
      <c r="K228">
        <v>99</v>
      </c>
      <c r="L228">
        <f t="shared" si="15"/>
        <v>-2</v>
      </c>
      <c r="M228" s="6">
        <f t="shared" si="16"/>
        <v>1</v>
      </c>
      <c r="N228" s="6">
        <f t="shared" si="17"/>
        <v>0.97297297297297303</v>
      </c>
      <c r="O228" s="6">
        <f t="shared" si="18"/>
        <v>0.94827586206896552</v>
      </c>
      <c r="P228">
        <f t="shared" si="19"/>
        <v>103356</v>
      </c>
      <c r="Q228" s="6">
        <f>MIN(Table1[Unit Price])/Table1[[#This Row],[Unit Price]]</f>
        <v>5.0505050505050504E-2</v>
      </c>
      <c r="R228" s="8">
        <f>IF(Table1[[#This Row],[Delivery Delay]]&gt;0,1,0)</f>
        <v>0</v>
      </c>
      <c r="S228" s="6">
        <f>(Table1[[#This Row],[OTD]]*0.4)+(Table1[[#This Row],[Quality Rate]]*0.3)+(Table1[[#This Row],[Fill Rate]]*0.2)+(Table1[[#This Row],[Cost Score]]*0.1)</f>
        <v>0.88412785826578932</v>
      </c>
      <c r="T228">
        <f>MAX(Table1[OTD])</f>
        <v>1</v>
      </c>
      <c r="U228" t="str">
        <f>IF(Table1[[#This Row],[Vendor Score]]&gt;=90%,"Excellent",IF(Table1[[#This Row],[Vendor Score]]&gt;=75%,"Moderate","Poor"))</f>
        <v>Moderate</v>
      </c>
    </row>
    <row r="229" spans="1:21" x14ac:dyDescent="0.35">
      <c r="A229" t="s">
        <v>85</v>
      </c>
      <c r="B229" t="s">
        <v>26</v>
      </c>
      <c r="C229" t="s">
        <v>27</v>
      </c>
      <c r="D229" t="s">
        <v>33</v>
      </c>
      <c r="E229" t="s">
        <v>20</v>
      </c>
      <c r="F229">
        <v>3022</v>
      </c>
      <c r="G229">
        <v>2799</v>
      </c>
      <c r="H229" s="1">
        <v>46205</v>
      </c>
      <c r="I229" s="1">
        <v>46203</v>
      </c>
      <c r="J229">
        <v>31</v>
      </c>
      <c r="K229">
        <v>249</v>
      </c>
      <c r="L229">
        <f t="shared" si="15"/>
        <v>-2</v>
      </c>
      <c r="M229" s="6">
        <f t="shared" si="16"/>
        <v>1</v>
      </c>
      <c r="N229" s="6">
        <f t="shared" si="17"/>
        <v>0.92620780939774983</v>
      </c>
      <c r="O229" s="6">
        <f t="shared" si="18"/>
        <v>0.98892461593426229</v>
      </c>
      <c r="P229">
        <f t="shared" si="19"/>
        <v>696951</v>
      </c>
      <c r="Q229" s="6">
        <f>MIN(Table1[Unit Price])/Table1[[#This Row],[Unit Price]]</f>
        <v>2.0080321285140562E-2</v>
      </c>
      <c r="R229" s="8">
        <f>IF(Table1[[#This Row],[Delivery Delay]]&gt;0,1,0)</f>
        <v>0</v>
      </c>
      <c r="S229" s="6">
        <f>(Table1[[#This Row],[OTD]]*0.4)+(Table1[[#This Row],[Quality Rate]]*0.3)+(Table1[[#This Row],[Fill Rate]]*0.2)+(Table1[[#This Row],[Cost Score]]*0.1)</f>
        <v>0.88392697878834281</v>
      </c>
      <c r="T229">
        <f>MAX(Table1[OTD])</f>
        <v>1</v>
      </c>
      <c r="U229" t="str">
        <f>IF(Table1[[#This Row],[Vendor Score]]&gt;=90%,"Excellent",IF(Table1[[#This Row],[Vendor Score]]&gt;=75%,"Moderate","Poor"))</f>
        <v>Moderate</v>
      </c>
    </row>
    <row r="230" spans="1:21" x14ac:dyDescent="0.35">
      <c r="A230" t="s">
        <v>87</v>
      </c>
      <c r="B230" t="s">
        <v>17</v>
      </c>
      <c r="C230" t="s">
        <v>18</v>
      </c>
      <c r="D230" t="s">
        <v>33</v>
      </c>
      <c r="E230" t="s">
        <v>52</v>
      </c>
      <c r="F230">
        <v>370</v>
      </c>
      <c r="G230">
        <v>354</v>
      </c>
      <c r="H230" s="1">
        <v>46088</v>
      </c>
      <c r="I230" s="1">
        <v>46087</v>
      </c>
      <c r="J230">
        <v>18</v>
      </c>
      <c r="K230">
        <v>64</v>
      </c>
      <c r="L230">
        <f t="shared" si="15"/>
        <v>-1</v>
      </c>
      <c r="M230" s="6">
        <f t="shared" si="16"/>
        <v>1</v>
      </c>
      <c r="N230" s="6">
        <f t="shared" si="17"/>
        <v>0.95675675675675675</v>
      </c>
      <c r="O230" s="6">
        <f t="shared" si="18"/>
        <v>0.94915254237288138</v>
      </c>
      <c r="P230">
        <f t="shared" si="19"/>
        <v>22656</v>
      </c>
      <c r="Q230" s="6">
        <f>MIN(Table1[Unit Price])/Table1[[#This Row],[Unit Price]]</f>
        <v>7.8125E-2</v>
      </c>
      <c r="R230" s="8">
        <f>IF(Table1[[#This Row],[Delivery Delay]]&gt;0,1,0)</f>
        <v>0</v>
      </c>
      <c r="S230" s="6">
        <f>(Table1[[#This Row],[OTD]]*0.4)+(Table1[[#This Row],[Quality Rate]]*0.3)+(Table1[[#This Row],[Fill Rate]]*0.2)+(Table1[[#This Row],[Cost Score]]*0.1)</f>
        <v>0.88390961406321589</v>
      </c>
      <c r="T230">
        <f>MAX(Table1[OTD])</f>
        <v>1</v>
      </c>
      <c r="U230" t="str">
        <f>IF(Table1[[#This Row],[Vendor Score]]&gt;=90%,"Excellent",IF(Table1[[#This Row],[Vendor Score]]&gt;=75%,"Moderate","Poor"))</f>
        <v>Moderate</v>
      </c>
    </row>
    <row r="231" spans="1:21" x14ac:dyDescent="0.35">
      <c r="A231" t="s">
        <v>355</v>
      </c>
      <c r="B231" t="s">
        <v>30</v>
      </c>
      <c r="C231" t="s">
        <v>31</v>
      </c>
      <c r="D231" t="s">
        <v>14</v>
      </c>
      <c r="E231" t="s">
        <v>52</v>
      </c>
      <c r="F231">
        <v>1543</v>
      </c>
      <c r="G231">
        <v>1456</v>
      </c>
      <c r="H231" s="1">
        <v>46107</v>
      </c>
      <c r="I231" s="1">
        <v>46106</v>
      </c>
      <c r="J231">
        <v>49</v>
      </c>
      <c r="K231">
        <v>101</v>
      </c>
      <c r="L231">
        <f t="shared" si="15"/>
        <v>-1</v>
      </c>
      <c r="M231" s="6">
        <f t="shared" si="16"/>
        <v>1</v>
      </c>
      <c r="N231" s="6">
        <f t="shared" si="17"/>
        <v>0.9436163318211277</v>
      </c>
      <c r="O231" s="6">
        <f t="shared" si="18"/>
        <v>0.96634615384615385</v>
      </c>
      <c r="P231">
        <f t="shared" si="19"/>
        <v>147056</v>
      </c>
      <c r="Q231" s="6">
        <f>MIN(Table1[Unit Price])/Table1[[#This Row],[Unit Price]]</f>
        <v>4.9504950495049507E-2</v>
      </c>
      <c r="R231" s="8">
        <f>IF(Table1[[#This Row],[Delivery Delay]]&gt;0,1,0)</f>
        <v>0</v>
      </c>
      <c r="S231" s="6">
        <f>(Table1[[#This Row],[OTD]]*0.4)+(Table1[[#This Row],[Quality Rate]]*0.3)+(Table1[[#This Row],[Fill Rate]]*0.2)+(Table1[[#This Row],[Cost Score]]*0.1)</f>
        <v>0.88357760756757664</v>
      </c>
      <c r="T231">
        <f>MAX(Table1[OTD])</f>
        <v>1</v>
      </c>
      <c r="U231" t="str">
        <f>IF(Table1[[#This Row],[Vendor Score]]&gt;=90%,"Excellent",IF(Table1[[#This Row],[Vendor Score]]&gt;=75%,"Moderate","Poor"))</f>
        <v>Moderate</v>
      </c>
    </row>
    <row r="232" spans="1:21" x14ac:dyDescent="0.35">
      <c r="A232" t="s">
        <v>400</v>
      </c>
      <c r="B232" t="s">
        <v>17</v>
      </c>
      <c r="C232" t="s">
        <v>18</v>
      </c>
      <c r="D232" t="s">
        <v>19</v>
      </c>
      <c r="E232" t="s">
        <v>47</v>
      </c>
      <c r="F232">
        <v>382</v>
      </c>
      <c r="G232">
        <v>369</v>
      </c>
      <c r="H232" s="1">
        <v>46335</v>
      </c>
      <c r="I232" s="1">
        <v>46335</v>
      </c>
      <c r="J232">
        <v>19</v>
      </c>
      <c r="K232">
        <v>87</v>
      </c>
      <c r="L232">
        <f t="shared" si="15"/>
        <v>0</v>
      </c>
      <c r="M232" s="6">
        <f t="shared" si="16"/>
        <v>1</v>
      </c>
      <c r="N232" s="6">
        <f t="shared" si="17"/>
        <v>0.96596858638743455</v>
      </c>
      <c r="O232" s="6">
        <f t="shared" si="18"/>
        <v>0.948509485094851</v>
      </c>
      <c r="P232">
        <f t="shared" si="19"/>
        <v>32103</v>
      </c>
      <c r="Q232" s="6">
        <f>MIN(Table1[Unit Price])/Table1[[#This Row],[Unit Price]]</f>
        <v>5.7471264367816091E-2</v>
      </c>
      <c r="R232" s="8">
        <f>IF(Table1[[#This Row],[Delivery Delay]]&gt;0,1,0)</f>
        <v>0</v>
      </c>
      <c r="S232" s="6">
        <f>(Table1[[#This Row],[OTD]]*0.4)+(Table1[[#This Row],[Quality Rate]]*0.3)+(Table1[[#This Row],[Fill Rate]]*0.2)+(Table1[[#This Row],[Cost Score]]*0.1)</f>
        <v>0.88349368924272387</v>
      </c>
      <c r="T232">
        <f>MAX(Table1[OTD])</f>
        <v>1</v>
      </c>
      <c r="U232" t="str">
        <f>IF(Table1[[#This Row],[Vendor Score]]&gt;=90%,"Excellent",IF(Table1[[#This Row],[Vendor Score]]&gt;=75%,"Moderate","Poor"))</f>
        <v>Moderate</v>
      </c>
    </row>
    <row r="233" spans="1:21" x14ac:dyDescent="0.35">
      <c r="A233" t="s">
        <v>97</v>
      </c>
      <c r="B233" t="s">
        <v>17</v>
      </c>
      <c r="C233" t="s">
        <v>18</v>
      </c>
      <c r="D233" t="s">
        <v>19</v>
      </c>
      <c r="E233" t="s">
        <v>96</v>
      </c>
      <c r="F233">
        <v>2907</v>
      </c>
      <c r="G233">
        <v>2815</v>
      </c>
      <c r="H233" s="1">
        <v>46122</v>
      </c>
      <c r="I233" s="1">
        <v>46122</v>
      </c>
      <c r="J233">
        <v>118</v>
      </c>
      <c r="K233">
        <v>209</v>
      </c>
      <c r="L233">
        <f t="shared" si="15"/>
        <v>0</v>
      </c>
      <c r="M233" s="6">
        <f t="shared" si="16"/>
        <v>1</v>
      </c>
      <c r="N233" s="6">
        <f t="shared" si="17"/>
        <v>0.9683522531819746</v>
      </c>
      <c r="O233" s="6">
        <f t="shared" si="18"/>
        <v>0.9580817051509769</v>
      </c>
      <c r="P233">
        <f t="shared" si="19"/>
        <v>588335</v>
      </c>
      <c r="Q233" s="6">
        <f>MIN(Table1[Unit Price])/Table1[[#This Row],[Unit Price]]</f>
        <v>2.3923444976076555E-2</v>
      </c>
      <c r="R233" s="8">
        <f>IF(Table1[[#This Row],[Delivery Delay]]&gt;0,1,0)</f>
        <v>0</v>
      </c>
      <c r="S233" s="6">
        <f>(Table1[[#This Row],[OTD]]*0.4)+(Table1[[#This Row],[Quality Rate]]*0.3)+(Table1[[#This Row],[Fill Rate]]*0.2)+(Table1[[#This Row],[Cost Score]]*0.1)</f>
        <v>0.88348730667929554</v>
      </c>
      <c r="T233">
        <f>MAX(Table1[OTD])</f>
        <v>1</v>
      </c>
      <c r="U233" t="str">
        <f>IF(Table1[[#This Row],[Vendor Score]]&gt;=90%,"Excellent",IF(Table1[[#This Row],[Vendor Score]]&gt;=75%,"Moderate","Poor"))</f>
        <v>Moderate</v>
      </c>
    </row>
    <row r="234" spans="1:21" x14ac:dyDescent="0.35">
      <c r="A234" t="s">
        <v>88</v>
      </c>
      <c r="B234" t="s">
        <v>17</v>
      </c>
      <c r="C234" t="s">
        <v>18</v>
      </c>
      <c r="D234" t="s">
        <v>19</v>
      </c>
      <c r="E234" t="s">
        <v>47</v>
      </c>
      <c r="F234">
        <v>1605</v>
      </c>
      <c r="G234">
        <v>1546</v>
      </c>
      <c r="H234" s="1">
        <v>46346</v>
      </c>
      <c r="I234" s="1">
        <v>46344</v>
      </c>
      <c r="J234">
        <v>67</v>
      </c>
      <c r="K234">
        <v>131</v>
      </c>
      <c r="L234">
        <f t="shared" si="15"/>
        <v>-2</v>
      </c>
      <c r="M234" s="6">
        <f t="shared" si="16"/>
        <v>1</v>
      </c>
      <c r="N234" s="6">
        <f t="shared" si="17"/>
        <v>0.96323987538940814</v>
      </c>
      <c r="O234" s="6">
        <f t="shared" si="18"/>
        <v>0.95666235446313064</v>
      </c>
      <c r="P234">
        <f t="shared" si="19"/>
        <v>202526</v>
      </c>
      <c r="Q234" s="6">
        <f>MIN(Table1[Unit Price])/Table1[[#This Row],[Unit Price]]</f>
        <v>3.8167938931297711E-2</v>
      </c>
      <c r="R234" s="8">
        <f>IF(Table1[[#This Row],[Delivery Delay]]&gt;0,1,0)</f>
        <v>0</v>
      </c>
      <c r="S234" s="6">
        <f>(Table1[[#This Row],[OTD]]*0.4)+(Table1[[#This Row],[Quality Rate]]*0.3)+(Table1[[#This Row],[Fill Rate]]*0.2)+(Table1[[#This Row],[Cost Score]]*0.1)</f>
        <v>0.88346347530995062</v>
      </c>
      <c r="T234">
        <f>MAX(Table1[OTD])</f>
        <v>1</v>
      </c>
      <c r="U234" t="str">
        <f>IF(Table1[[#This Row],[Vendor Score]]&gt;=90%,"Excellent",IF(Table1[[#This Row],[Vendor Score]]&gt;=75%,"Moderate","Poor"))</f>
        <v>Moderate</v>
      </c>
    </row>
    <row r="235" spans="1:21" x14ac:dyDescent="0.35">
      <c r="A235" t="s">
        <v>308</v>
      </c>
      <c r="B235" t="s">
        <v>59</v>
      </c>
      <c r="C235" t="s">
        <v>60</v>
      </c>
      <c r="D235" t="s">
        <v>55</v>
      </c>
      <c r="E235" t="s">
        <v>47</v>
      </c>
      <c r="F235">
        <v>1277</v>
      </c>
      <c r="G235">
        <v>1263</v>
      </c>
      <c r="H235" s="1">
        <v>46354</v>
      </c>
      <c r="I235" s="1">
        <v>46354</v>
      </c>
      <c r="J235">
        <v>79</v>
      </c>
      <c r="K235">
        <v>114</v>
      </c>
      <c r="L235">
        <f t="shared" si="15"/>
        <v>0</v>
      </c>
      <c r="M235" s="6">
        <f t="shared" si="16"/>
        <v>1</v>
      </c>
      <c r="N235" s="6">
        <f t="shared" si="17"/>
        <v>0.98903680501174629</v>
      </c>
      <c r="O235" s="6">
        <f t="shared" si="18"/>
        <v>0.93745051464766427</v>
      </c>
      <c r="P235">
        <f t="shared" si="19"/>
        <v>143982</v>
      </c>
      <c r="Q235" s="6">
        <f>MIN(Table1[Unit Price])/Table1[[#This Row],[Unit Price]]</f>
        <v>4.3859649122807015E-2</v>
      </c>
      <c r="R235" s="8">
        <f>IF(Table1[[#This Row],[Delivery Delay]]&gt;0,1,0)</f>
        <v>0</v>
      </c>
      <c r="S235" s="6">
        <f>(Table1[[#This Row],[OTD]]*0.4)+(Table1[[#This Row],[Quality Rate]]*0.3)+(Table1[[#This Row],[Fill Rate]]*0.2)+(Table1[[#This Row],[Cost Score]]*0.1)</f>
        <v>0.88342848030892929</v>
      </c>
      <c r="T235">
        <f>MAX(Table1[OTD])</f>
        <v>1</v>
      </c>
      <c r="U235" t="str">
        <f>IF(Table1[[#This Row],[Vendor Score]]&gt;=90%,"Excellent",IF(Table1[[#This Row],[Vendor Score]]&gt;=75%,"Moderate","Poor"))</f>
        <v>Moderate</v>
      </c>
    </row>
    <row r="236" spans="1:21" x14ac:dyDescent="0.35">
      <c r="A236" t="s">
        <v>25</v>
      </c>
      <c r="B236" t="s">
        <v>26</v>
      </c>
      <c r="C236" t="s">
        <v>27</v>
      </c>
      <c r="D236" t="s">
        <v>14</v>
      </c>
      <c r="E236" t="s">
        <v>28</v>
      </c>
      <c r="F236">
        <v>2160</v>
      </c>
      <c r="G236">
        <v>1992</v>
      </c>
      <c r="H236" s="1">
        <v>46282</v>
      </c>
      <c r="I236" s="1">
        <v>46280</v>
      </c>
      <c r="J236">
        <v>22</v>
      </c>
      <c r="K236">
        <v>223</v>
      </c>
      <c r="L236">
        <f t="shared" si="15"/>
        <v>-2</v>
      </c>
      <c r="M236" s="6">
        <f t="shared" si="16"/>
        <v>1</v>
      </c>
      <c r="N236" s="6">
        <f t="shared" si="17"/>
        <v>0.92222222222222228</v>
      </c>
      <c r="O236" s="6">
        <f t="shared" si="18"/>
        <v>0.98895582329317266</v>
      </c>
      <c r="P236">
        <f t="shared" si="19"/>
        <v>444216</v>
      </c>
      <c r="Q236" s="6">
        <f>MIN(Table1[Unit Price])/Table1[[#This Row],[Unit Price]]</f>
        <v>2.2421524663677129E-2</v>
      </c>
      <c r="R236" s="8">
        <f>IF(Table1[[#This Row],[Delivery Delay]]&gt;0,1,0)</f>
        <v>0</v>
      </c>
      <c r="S236" s="6">
        <f>(Table1[[#This Row],[OTD]]*0.4)+(Table1[[#This Row],[Quality Rate]]*0.3)+(Table1[[#This Row],[Fill Rate]]*0.2)+(Table1[[#This Row],[Cost Score]]*0.1)</f>
        <v>0.88337334389876399</v>
      </c>
      <c r="T236">
        <f>MAX(Table1[OTD])</f>
        <v>1</v>
      </c>
      <c r="U236" t="str">
        <f>IF(Table1[[#This Row],[Vendor Score]]&gt;=90%,"Excellent",IF(Table1[[#This Row],[Vendor Score]]&gt;=75%,"Moderate","Poor"))</f>
        <v>Moderate</v>
      </c>
    </row>
    <row r="237" spans="1:21" x14ac:dyDescent="0.35">
      <c r="A237" t="s">
        <v>74</v>
      </c>
      <c r="B237" t="s">
        <v>30</v>
      </c>
      <c r="C237" t="s">
        <v>31</v>
      </c>
      <c r="D237" t="s">
        <v>19</v>
      </c>
      <c r="E237" t="s">
        <v>20</v>
      </c>
      <c r="F237">
        <v>239</v>
      </c>
      <c r="G237">
        <v>230</v>
      </c>
      <c r="H237" s="1">
        <v>46215</v>
      </c>
      <c r="I237" s="1">
        <v>46213</v>
      </c>
      <c r="J237">
        <v>10</v>
      </c>
      <c r="K237">
        <v>127</v>
      </c>
      <c r="L237">
        <f t="shared" si="15"/>
        <v>-2</v>
      </c>
      <c r="M237" s="6">
        <f t="shared" si="16"/>
        <v>1</v>
      </c>
      <c r="N237" s="6">
        <f t="shared" si="17"/>
        <v>0.96234309623430958</v>
      </c>
      <c r="O237" s="6">
        <f t="shared" si="18"/>
        <v>0.95652173913043481</v>
      </c>
      <c r="P237">
        <f t="shared" si="19"/>
        <v>29210</v>
      </c>
      <c r="Q237" s="6">
        <f>MIN(Table1[Unit Price])/Table1[[#This Row],[Unit Price]]</f>
        <v>3.937007874015748E-2</v>
      </c>
      <c r="R237" s="8">
        <f>IF(Table1[[#This Row],[Delivery Delay]]&gt;0,1,0)</f>
        <v>0</v>
      </c>
      <c r="S237" s="6">
        <f>(Table1[[#This Row],[OTD]]*0.4)+(Table1[[#This Row],[Quality Rate]]*0.3)+(Table1[[#This Row],[Fill Rate]]*0.2)+(Table1[[#This Row],[Cost Score]]*0.1)</f>
        <v>0.88336214886000808</v>
      </c>
      <c r="T237">
        <f>MAX(Table1[OTD])</f>
        <v>1</v>
      </c>
      <c r="U237" t="str">
        <f>IF(Table1[[#This Row],[Vendor Score]]&gt;=90%,"Excellent",IF(Table1[[#This Row],[Vendor Score]]&gt;=75%,"Moderate","Poor"))</f>
        <v>Moderate</v>
      </c>
    </row>
    <row r="238" spans="1:21" x14ac:dyDescent="0.35">
      <c r="A238" t="s">
        <v>66</v>
      </c>
      <c r="B238" t="s">
        <v>38</v>
      </c>
      <c r="C238" t="s">
        <v>39</v>
      </c>
      <c r="D238" t="s">
        <v>14</v>
      </c>
      <c r="E238" t="s">
        <v>57</v>
      </c>
      <c r="F238">
        <v>4971</v>
      </c>
      <c r="G238">
        <v>4582</v>
      </c>
      <c r="H238" s="1">
        <v>46320</v>
      </c>
      <c r="I238" s="1">
        <v>46319</v>
      </c>
      <c r="J238">
        <v>96</v>
      </c>
      <c r="K238">
        <v>95</v>
      </c>
      <c r="L238">
        <f t="shared" si="15"/>
        <v>-1</v>
      </c>
      <c r="M238" s="6">
        <f t="shared" si="16"/>
        <v>1</v>
      </c>
      <c r="N238" s="6">
        <f t="shared" si="17"/>
        <v>0.9217461275397304</v>
      </c>
      <c r="O238" s="6">
        <f t="shared" si="18"/>
        <v>0.97904845045831512</v>
      </c>
      <c r="P238">
        <f t="shared" si="19"/>
        <v>435290</v>
      </c>
      <c r="Q238" s="6">
        <f>MIN(Table1[Unit Price])/Table1[[#This Row],[Unit Price]]</f>
        <v>5.2631578947368418E-2</v>
      </c>
      <c r="R238" s="8">
        <f>IF(Table1[[#This Row],[Delivery Delay]]&gt;0,1,0)</f>
        <v>0</v>
      </c>
      <c r="S238" s="6">
        <f>(Table1[[#This Row],[OTD]]*0.4)+(Table1[[#This Row],[Quality Rate]]*0.3)+(Table1[[#This Row],[Fill Rate]]*0.2)+(Table1[[#This Row],[Cost Score]]*0.1)</f>
        <v>0.88332691854017742</v>
      </c>
      <c r="T238">
        <f>MAX(Table1[OTD])</f>
        <v>1</v>
      </c>
      <c r="U238" t="str">
        <f>IF(Table1[[#This Row],[Vendor Score]]&gt;=90%,"Excellent",IF(Table1[[#This Row],[Vendor Score]]&gt;=75%,"Moderate","Poor"))</f>
        <v>Moderate</v>
      </c>
    </row>
    <row r="239" spans="1:21" x14ac:dyDescent="0.35">
      <c r="A239" t="s">
        <v>370</v>
      </c>
      <c r="B239" t="s">
        <v>22</v>
      </c>
      <c r="C239" t="s">
        <v>23</v>
      </c>
      <c r="D239" t="s">
        <v>19</v>
      </c>
      <c r="E239" t="s">
        <v>34</v>
      </c>
      <c r="F239">
        <v>4209</v>
      </c>
      <c r="G239">
        <v>4197</v>
      </c>
      <c r="H239" s="1">
        <v>46201</v>
      </c>
      <c r="I239" s="1">
        <v>46200</v>
      </c>
      <c r="J239">
        <v>294</v>
      </c>
      <c r="K239">
        <v>102</v>
      </c>
      <c r="L239">
        <f t="shared" si="15"/>
        <v>-1</v>
      </c>
      <c r="M239" s="6">
        <f t="shared" si="16"/>
        <v>1</v>
      </c>
      <c r="N239" s="6">
        <f t="shared" si="17"/>
        <v>0.99714896650035634</v>
      </c>
      <c r="O239" s="6">
        <f t="shared" si="18"/>
        <v>0.92994996426018584</v>
      </c>
      <c r="P239">
        <f t="shared" si="19"/>
        <v>428094</v>
      </c>
      <c r="Q239" s="6">
        <f>MIN(Table1[Unit Price])/Table1[[#This Row],[Unit Price]]</f>
        <v>4.9019607843137254E-2</v>
      </c>
      <c r="R239" s="8">
        <f>IF(Table1[[#This Row],[Delivery Delay]]&gt;0,1,0)</f>
        <v>0</v>
      </c>
      <c r="S239" s="6">
        <f>(Table1[[#This Row],[OTD]]*0.4)+(Table1[[#This Row],[Quality Rate]]*0.3)+(Table1[[#This Row],[Fill Rate]]*0.2)+(Table1[[#This Row],[Cost Score]]*0.1)</f>
        <v>0.8833167433624407</v>
      </c>
      <c r="T239">
        <f>MAX(Table1[OTD])</f>
        <v>1</v>
      </c>
      <c r="U239" t="str">
        <f>IF(Table1[[#This Row],[Vendor Score]]&gt;=90%,"Excellent",IF(Table1[[#This Row],[Vendor Score]]&gt;=75%,"Moderate","Poor"))</f>
        <v>Moderate</v>
      </c>
    </row>
    <row r="240" spans="1:21" x14ac:dyDescent="0.35">
      <c r="A240" t="s">
        <v>211</v>
      </c>
      <c r="B240" t="s">
        <v>59</v>
      </c>
      <c r="C240" t="s">
        <v>60</v>
      </c>
      <c r="D240" t="s">
        <v>33</v>
      </c>
      <c r="E240" t="s">
        <v>40</v>
      </c>
      <c r="F240">
        <v>1155</v>
      </c>
      <c r="G240">
        <v>1150</v>
      </c>
      <c r="H240" s="1">
        <v>46252</v>
      </c>
      <c r="I240" s="1">
        <v>46250</v>
      </c>
      <c r="J240">
        <v>69</v>
      </c>
      <c r="K240">
        <v>236</v>
      </c>
      <c r="L240">
        <f t="shared" si="15"/>
        <v>-2</v>
      </c>
      <c r="M240" s="6">
        <f t="shared" si="16"/>
        <v>1</v>
      </c>
      <c r="N240" s="6">
        <f t="shared" si="17"/>
        <v>0.99567099567099571</v>
      </c>
      <c r="O240" s="6">
        <f t="shared" si="18"/>
        <v>0.94</v>
      </c>
      <c r="P240">
        <f t="shared" si="19"/>
        <v>271400</v>
      </c>
      <c r="Q240" s="6">
        <f>MIN(Table1[Unit Price])/Table1[[#This Row],[Unit Price]]</f>
        <v>2.1186440677966101E-2</v>
      </c>
      <c r="R240" s="8">
        <f>IF(Table1[[#This Row],[Delivery Delay]]&gt;0,1,0)</f>
        <v>0</v>
      </c>
      <c r="S240" s="6">
        <f>(Table1[[#This Row],[OTD]]*0.4)+(Table1[[#This Row],[Quality Rate]]*0.3)+(Table1[[#This Row],[Fill Rate]]*0.2)+(Table1[[#This Row],[Cost Score]]*0.1)</f>
        <v>0.88325284320199571</v>
      </c>
      <c r="T240">
        <f>MAX(Table1[OTD])</f>
        <v>1</v>
      </c>
      <c r="U240" t="str">
        <f>IF(Table1[[#This Row],[Vendor Score]]&gt;=90%,"Excellent",IF(Table1[[#This Row],[Vendor Score]]&gt;=75%,"Moderate","Poor"))</f>
        <v>Moderate</v>
      </c>
    </row>
    <row r="241" spans="1:21" x14ac:dyDescent="0.35">
      <c r="A241" t="s">
        <v>51</v>
      </c>
      <c r="B241" t="s">
        <v>17</v>
      </c>
      <c r="C241" t="s">
        <v>18</v>
      </c>
      <c r="D241" t="s">
        <v>14</v>
      </c>
      <c r="E241" t="s">
        <v>52</v>
      </c>
      <c r="F241">
        <v>3800</v>
      </c>
      <c r="G241">
        <v>3606</v>
      </c>
      <c r="H241" s="1">
        <v>46103</v>
      </c>
      <c r="I241" s="1">
        <v>46103</v>
      </c>
      <c r="J241">
        <v>145</v>
      </c>
      <c r="K241">
        <v>92</v>
      </c>
      <c r="L241">
        <f t="shared" si="15"/>
        <v>0</v>
      </c>
      <c r="M241" s="6">
        <f t="shared" si="16"/>
        <v>1</v>
      </c>
      <c r="N241" s="6">
        <f t="shared" si="17"/>
        <v>0.94894736842105265</v>
      </c>
      <c r="O241" s="6">
        <f t="shared" si="18"/>
        <v>0.95978924015529676</v>
      </c>
      <c r="P241">
        <f t="shared" si="19"/>
        <v>331752</v>
      </c>
      <c r="Q241" s="6">
        <f>MIN(Table1[Unit Price])/Table1[[#This Row],[Unit Price]]</f>
        <v>5.434782608695652E-2</v>
      </c>
      <c r="R241" s="8">
        <f>IF(Table1[[#This Row],[Delivery Delay]]&gt;0,1,0)</f>
        <v>0</v>
      </c>
      <c r="S241" s="6">
        <f>(Table1[[#This Row],[OTD]]*0.4)+(Table1[[#This Row],[Quality Rate]]*0.3)+(Table1[[#This Row],[Fill Rate]]*0.2)+(Table1[[#This Row],[Cost Score]]*0.1)</f>
        <v>0.88316102833949517</v>
      </c>
      <c r="T241">
        <f>MAX(Table1[OTD])</f>
        <v>1</v>
      </c>
      <c r="U241" t="str">
        <f>IF(Table1[[#This Row],[Vendor Score]]&gt;=90%,"Excellent",IF(Table1[[#This Row],[Vendor Score]]&gt;=75%,"Moderate","Poor"))</f>
        <v>Moderate</v>
      </c>
    </row>
    <row r="242" spans="1:21" x14ac:dyDescent="0.35">
      <c r="A242" t="s">
        <v>67</v>
      </c>
      <c r="B242" t="s">
        <v>30</v>
      </c>
      <c r="C242" t="s">
        <v>31</v>
      </c>
      <c r="D242" t="s">
        <v>33</v>
      </c>
      <c r="E242" t="s">
        <v>20</v>
      </c>
      <c r="F242">
        <v>803</v>
      </c>
      <c r="G242">
        <v>768</v>
      </c>
      <c r="H242" s="1">
        <v>46212</v>
      </c>
      <c r="I242" s="1">
        <v>46210</v>
      </c>
      <c r="J242">
        <v>27</v>
      </c>
      <c r="K242">
        <v>219</v>
      </c>
      <c r="L242">
        <f t="shared" si="15"/>
        <v>-2</v>
      </c>
      <c r="M242" s="6">
        <f t="shared" si="16"/>
        <v>1</v>
      </c>
      <c r="N242" s="6">
        <f t="shared" si="17"/>
        <v>0.95641344956413454</v>
      </c>
      <c r="O242" s="6">
        <f t="shared" si="18"/>
        <v>0.96484375</v>
      </c>
      <c r="P242">
        <f t="shared" si="19"/>
        <v>168192</v>
      </c>
      <c r="Q242" s="6">
        <f>MIN(Table1[Unit Price])/Table1[[#This Row],[Unit Price]]</f>
        <v>2.2831050228310501E-2</v>
      </c>
      <c r="R242" s="8">
        <f>IF(Table1[[#This Row],[Delivery Delay]]&gt;0,1,0)</f>
        <v>0</v>
      </c>
      <c r="S242" s="6">
        <f>(Table1[[#This Row],[OTD]]*0.4)+(Table1[[#This Row],[Quality Rate]]*0.3)+(Table1[[#This Row],[Fill Rate]]*0.2)+(Table1[[#This Row],[Cost Score]]*0.1)</f>
        <v>0.88301891993565795</v>
      </c>
      <c r="T242">
        <f>MAX(Table1[OTD])</f>
        <v>1</v>
      </c>
      <c r="U242" t="str">
        <f>IF(Table1[[#This Row],[Vendor Score]]&gt;=90%,"Excellent",IF(Table1[[#This Row],[Vendor Score]]&gt;=75%,"Moderate","Poor"))</f>
        <v>Moderate</v>
      </c>
    </row>
    <row r="243" spans="1:21" x14ac:dyDescent="0.35">
      <c r="A243" t="s">
        <v>150</v>
      </c>
      <c r="B243" t="s">
        <v>30</v>
      </c>
      <c r="C243" t="s">
        <v>31</v>
      </c>
      <c r="D243" t="s">
        <v>14</v>
      </c>
      <c r="E243" t="s">
        <v>70</v>
      </c>
      <c r="F243">
        <v>2127</v>
      </c>
      <c r="G243">
        <v>2007</v>
      </c>
      <c r="H243" s="1">
        <v>46038</v>
      </c>
      <c r="I243" s="1">
        <v>46036</v>
      </c>
      <c r="J243">
        <v>63</v>
      </c>
      <c r="K243">
        <v>142</v>
      </c>
      <c r="L243">
        <f t="shared" si="15"/>
        <v>-2</v>
      </c>
      <c r="M243" s="6">
        <f t="shared" si="16"/>
        <v>1</v>
      </c>
      <c r="N243" s="6">
        <f t="shared" si="17"/>
        <v>0.94358251057827924</v>
      </c>
      <c r="O243" s="6">
        <f t="shared" si="18"/>
        <v>0.96860986547085204</v>
      </c>
      <c r="P243">
        <f t="shared" si="19"/>
        <v>284994</v>
      </c>
      <c r="Q243" s="6">
        <f>MIN(Table1[Unit Price])/Table1[[#This Row],[Unit Price]]</f>
        <v>3.5211267605633804E-2</v>
      </c>
      <c r="R243" s="8">
        <f>IF(Table1[[#This Row],[Delivery Delay]]&gt;0,1,0)</f>
        <v>0</v>
      </c>
      <c r="S243" s="6">
        <f>(Table1[[#This Row],[OTD]]*0.4)+(Table1[[#This Row],[Quality Rate]]*0.3)+(Table1[[#This Row],[Fill Rate]]*0.2)+(Table1[[#This Row],[Cost Score]]*0.1)</f>
        <v>0.8828205885174748</v>
      </c>
      <c r="T243">
        <f>MAX(Table1[OTD])</f>
        <v>1</v>
      </c>
      <c r="U243" t="str">
        <f>IF(Table1[[#This Row],[Vendor Score]]&gt;=90%,"Excellent",IF(Table1[[#This Row],[Vendor Score]]&gt;=75%,"Moderate","Poor"))</f>
        <v>Moderate</v>
      </c>
    </row>
    <row r="244" spans="1:21" x14ac:dyDescent="0.35">
      <c r="A244" t="s">
        <v>50</v>
      </c>
      <c r="B244" t="s">
        <v>26</v>
      </c>
      <c r="C244" t="s">
        <v>27</v>
      </c>
      <c r="D244" t="s">
        <v>33</v>
      </c>
      <c r="E244" t="s">
        <v>40</v>
      </c>
      <c r="F244">
        <v>638</v>
      </c>
      <c r="G244">
        <v>588</v>
      </c>
      <c r="H244" s="1">
        <v>46260</v>
      </c>
      <c r="I244" s="1">
        <v>46259</v>
      </c>
      <c r="J244">
        <v>11</v>
      </c>
      <c r="K244">
        <v>122</v>
      </c>
      <c r="L244">
        <f t="shared" si="15"/>
        <v>-1</v>
      </c>
      <c r="M244" s="6">
        <f t="shared" si="16"/>
        <v>1</v>
      </c>
      <c r="N244" s="6">
        <f t="shared" si="17"/>
        <v>0.92163009404388718</v>
      </c>
      <c r="O244" s="6">
        <f t="shared" si="18"/>
        <v>0.98129251700680276</v>
      </c>
      <c r="P244">
        <f t="shared" si="19"/>
        <v>71736</v>
      </c>
      <c r="Q244" s="6">
        <f>MIN(Table1[Unit Price])/Table1[[#This Row],[Unit Price]]</f>
        <v>4.0983606557377046E-2</v>
      </c>
      <c r="R244" s="8">
        <f>IF(Table1[[#This Row],[Delivery Delay]]&gt;0,1,0)</f>
        <v>0</v>
      </c>
      <c r="S244" s="6">
        <f>(Table1[[#This Row],[OTD]]*0.4)+(Table1[[#This Row],[Quality Rate]]*0.3)+(Table1[[#This Row],[Fill Rate]]*0.2)+(Table1[[#This Row],[Cost Score]]*0.1)</f>
        <v>0.88281213456655583</v>
      </c>
      <c r="T244">
        <f>MAX(Table1[OTD])</f>
        <v>1</v>
      </c>
      <c r="U244" t="str">
        <f>IF(Table1[[#This Row],[Vendor Score]]&gt;=90%,"Excellent",IF(Table1[[#This Row],[Vendor Score]]&gt;=75%,"Moderate","Poor"))</f>
        <v>Moderate</v>
      </c>
    </row>
    <row r="245" spans="1:21" x14ac:dyDescent="0.35">
      <c r="A245" t="s">
        <v>159</v>
      </c>
      <c r="B245" t="s">
        <v>38</v>
      </c>
      <c r="C245" t="s">
        <v>39</v>
      </c>
      <c r="D245" t="s">
        <v>55</v>
      </c>
      <c r="E245" t="s">
        <v>34</v>
      </c>
      <c r="F245">
        <v>2182</v>
      </c>
      <c r="G245">
        <v>2040</v>
      </c>
      <c r="H245" s="1">
        <v>46185</v>
      </c>
      <c r="I245" s="1">
        <v>46185</v>
      </c>
      <c r="J245">
        <v>46</v>
      </c>
      <c r="K245">
        <v>202</v>
      </c>
      <c r="L245">
        <f t="shared" si="15"/>
        <v>0</v>
      </c>
      <c r="M245" s="6">
        <f t="shared" si="16"/>
        <v>1</v>
      </c>
      <c r="N245" s="6">
        <f t="shared" si="17"/>
        <v>0.93492208982584779</v>
      </c>
      <c r="O245" s="6">
        <f t="shared" si="18"/>
        <v>0.97745098039215683</v>
      </c>
      <c r="P245">
        <f t="shared" si="19"/>
        <v>412080</v>
      </c>
      <c r="Q245" s="6">
        <f>MIN(Table1[Unit Price])/Table1[[#This Row],[Unit Price]]</f>
        <v>2.4752475247524754E-2</v>
      </c>
      <c r="R245" s="8">
        <f>IF(Table1[[#This Row],[Delivery Delay]]&gt;0,1,0)</f>
        <v>0</v>
      </c>
      <c r="S245" s="6">
        <f>(Table1[[#This Row],[OTD]]*0.4)+(Table1[[#This Row],[Quality Rate]]*0.3)+(Table1[[#This Row],[Fill Rate]]*0.2)+(Table1[[#This Row],[Cost Score]]*0.1)</f>
        <v>0.88269495960756905</v>
      </c>
      <c r="T245">
        <f>MAX(Table1[OTD])</f>
        <v>1</v>
      </c>
      <c r="U245" t="str">
        <f>IF(Table1[[#This Row],[Vendor Score]]&gt;=90%,"Excellent",IF(Table1[[#This Row],[Vendor Score]]&gt;=75%,"Moderate","Poor"))</f>
        <v>Moderate</v>
      </c>
    </row>
    <row r="246" spans="1:21" x14ac:dyDescent="0.35">
      <c r="A246" t="s">
        <v>528</v>
      </c>
      <c r="B246" t="s">
        <v>30</v>
      </c>
      <c r="C246" t="s">
        <v>31</v>
      </c>
      <c r="D246" t="s">
        <v>19</v>
      </c>
      <c r="E246" t="s">
        <v>63</v>
      </c>
      <c r="F246">
        <v>3849</v>
      </c>
      <c r="G246">
        <v>3576</v>
      </c>
      <c r="H246" s="1">
        <v>46056</v>
      </c>
      <c r="I246" s="1">
        <v>46055</v>
      </c>
      <c r="J246">
        <v>108</v>
      </c>
      <c r="K246">
        <v>85</v>
      </c>
      <c r="L246">
        <f t="shared" si="15"/>
        <v>-1</v>
      </c>
      <c r="M246" s="6">
        <f t="shared" si="16"/>
        <v>1</v>
      </c>
      <c r="N246" s="6">
        <f t="shared" si="17"/>
        <v>0.92907248636009354</v>
      </c>
      <c r="O246" s="6">
        <f t="shared" si="18"/>
        <v>0.96979865771812079</v>
      </c>
      <c r="P246">
        <f t="shared" si="19"/>
        <v>303960</v>
      </c>
      <c r="Q246" s="6">
        <f>MIN(Table1[Unit Price])/Table1[[#This Row],[Unit Price]]</f>
        <v>5.8823529411764705E-2</v>
      </c>
      <c r="R246" s="8">
        <f>IF(Table1[[#This Row],[Delivery Delay]]&gt;0,1,0)</f>
        <v>0</v>
      </c>
      <c r="S246" s="6">
        <f>(Table1[[#This Row],[OTD]]*0.4)+(Table1[[#This Row],[Quality Rate]]*0.3)+(Table1[[#This Row],[Fill Rate]]*0.2)+(Table1[[#This Row],[Cost Score]]*0.1)</f>
        <v>0.88263644752863135</v>
      </c>
      <c r="T246">
        <f>MAX(Table1[OTD])</f>
        <v>1</v>
      </c>
      <c r="U246" t="str">
        <f>IF(Table1[[#This Row],[Vendor Score]]&gt;=90%,"Excellent",IF(Table1[[#This Row],[Vendor Score]]&gt;=75%,"Moderate","Poor"))</f>
        <v>Moderate</v>
      </c>
    </row>
    <row r="247" spans="1:21" x14ac:dyDescent="0.35">
      <c r="A247" t="s">
        <v>110</v>
      </c>
      <c r="B247" t="s">
        <v>38</v>
      </c>
      <c r="C247" t="s">
        <v>39</v>
      </c>
      <c r="D247" t="s">
        <v>14</v>
      </c>
      <c r="E247" t="s">
        <v>52</v>
      </c>
      <c r="F247">
        <v>307</v>
      </c>
      <c r="G247">
        <v>286</v>
      </c>
      <c r="H247" s="1">
        <v>46107</v>
      </c>
      <c r="I247" s="1">
        <v>46107</v>
      </c>
      <c r="J247">
        <v>6</v>
      </c>
      <c r="K247">
        <v>199</v>
      </c>
      <c r="L247">
        <f t="shared" si="15"/>
        <v>0</v>
      </c>
      <c r="M247" s="6">
        <f t="shared" si="16"/>
        <v>1</v>
      </c>
      <c r="N247" s="6">
        <f t="shared" si="17"/>
        <v>0.9315960912052117</v>
      </c>
      <c r="O247" s="6">
        <f t="shared" si="18"/>
        <v>0.97902097902097907</v>
      </c>
      <c r="P247">
        <f t="shared" si="19"/>
        <v>56914</v>
      </c>
      <c r="Q247" s="6">
        <f>MIN(Table1[Unit Price])/Table1[[#This Row],[Unit Price]]</f>
        <v>2.5125628140703519E-2</v>
      </c>
      <c r="R247" s="8">
        <f>IF(Table1[[#This Row],[Delivery Delay]]&gt;0,1,0)</f>
        <v>0</v>
      </c>
      <c r="S247" s="6">
        <f>(Table1[[#This Row],[OTD]]*0.4)+(Table1[[#This Row],[Quality Rate]]*0.3)+(Table1[[#This Row],[Fill Rate]]*0.2)+(Table1[[#This Row],[Cost Score]]*0.1)</f>
        <v>0.88253807476140633</v>
      </c>
      <c r="T247">
        <f>MAX(Table1[OTD])</f>
        <v>1</v>
      </c>
      <c r="U247" t="str">
        <f>IF(Table1[[#This Row],[Vendor Score]]&gt;=90%,"Excellent",IF(Table1[[#This Row],[Vendor Score]]&gt;=75%,"Moderate","Poor"))</f>
        <v>Moderate</v>
      </c>
    </row>
    <row r="248" spans="1:21" x14ac:dyDescent="0.35">
      <c r="A248" t="s">
        <v>160</v>
      </c>
      <c r="B248" t="s">
        <v>30</v>
      </c>
      <c r="C248" t="s">
        <v>31</v>
      </c>
      <c r="D248" t="s">
        <v>33</v>
      </c>
      <c r="E248" t="s">
        <v>28</v>
      </c>
      <c r="F248">
        <v>4640</v>
      </c>
      <c r="G248">
        <v>4306</v>
      </c>
      <c r="H248" s="1">
        <v>46284</v>
      </c>
      <c r="I248" s="1">
        <v>46283</v>
      </c>
      <c r="J248">
        <v>130</v>
      </c>
      <c r="K248">
        <v>86</v>
      </c>
      <c r="L248">
        <f t="shared" si="15"/>
        <v>-1</v>
      </c>
      <c r="M248" s="6">
        <f t="shared" si="16"/>
        <v>1</v>
      </c>
      <c r="N248" s="6">
        <f t="shared" si="17"/>
        <v>0.9280172413793103</v>
      </c>
      <c r="O248" s="6">
        <f t="shared" si="18"/>
        <v>0.96980956804458895</v>
      </c>
      <c r="P248">
        <f t="shared" si="19"/>
        <v>370316</v>
      </c>
      <c r="Q248" s="6">
        <f>MIN(Table1[Unit Price])/Table1[[#This Row],[Unit Price]]</f>
        <v>5.8139534883720929E-2</v>
      </c>
      <c r="R248" s="8">
        <f>IF(Table1[[#This Row],[Delivery Delay]]&gt;0,1,0)</f>
        <v>0</v>
      </c>
      <c r="S248" s="6">
        <f>(Table1[[#This Row],[OTD]]*0.4)+(Table1[[#This Row],[Quality Rate]]*0.3)+(Table1[[#This Row],[Fill Rate]]*0.2)+(Table1[[#This Row],[Cost Score]]*0.1)</f>
        <v>0.88236027217761082</v>
      </c>
      <c r="T248">
        <f>MAX(Table1[OTD])</f>
        <v>1</v>
      </c>
      <c r="U248" t="str">
        <f>IF(Table1[[#This Row],[Vendor Score]]&gt;=90%,"Excellent",IF(Table1[[#This Row],[Vendor Score]]&gt;=75%,"Moderate","Poor"))</f>
        <v>Moderate</v>
      </c>
    </row>
    <row r="249" spans="1:21" x14ac:dyDescent="0.35">
      <c r="A249" t="s">
        <v>260</v>
      </c>
      <c r="B249" t="s">
        <v>59</v>
      </c>
      <c r="C249" t="s">
        <v>60</v>
      </c>
      <c r="D249" t="s">
        <v>55</v>
      </c>
      <c r="E249" t="s">
        <v>96</v>
      </c>
      <c r="F249">
        <v>2668</v>
      </c>
      <c r="G249">
        <v>2600</v>
      </c>
      <c r="H249" s="1">
        <v>46116</v>
      </c>
      <c r="I249" s="1">
        <v>46115</v>
      </c>
      <c r="J249">
        <v>157</v>
      </c>
      <c r="K249">
        <v>92</v>
      </c>
      <c r="L249">
        <f t="shared" si="15"/>
        <v>-1</v>
      </c>
      <c r="M249" s="6">
        <f t="shared" si="16"/>
        <v>1</v>
      </c>
      <c r="N249" s="6">
        <f t="shared" si="17"/>
        <v>0.97451274362818596</v>
      </c>
      <c r="O249" s="6">
        <f t="shared" si="18"/>
        <v>0.93961538461538463</v>
      </c>
      <c r="P249">
        <f t="shared" si="19"/>
        <v>239200</v>
      </c>
      <c r="Q249" s="6">
        <f>MIN(Table1[Unit Price])/Table1[[#This Row],[Unit Price]]</f>
        <v>5.434782608695652E-2</v>
      </c>
      <c r="R249" s="8">
        <f>IF(Table1[[#This Row],[Delivery Delay]]&gt;0,1,0)</f>
        <v>0</v>
      </c>
      <c r="S249" s="6">
        <f>(Table1[[#This Row],[OTD]]*0.4)+(Table1[[#This Row],[Quality Rate]]*0.3)+(Table1[[#This Row],[Fill Rate]]*0.2)+(Table1[[#This Row],[Cost Score]]*0.1)</f>
        <v>0.88222194671894827</v>
      </c>
      <c r="T249">
        <f>MAX(Table1[OTD])</f>
        <v>1</v>
      </c>
      <c r="U249" t="str">
        <f>IF(Table1[[#This Row],[Vendor Score]]&gt;=90%,"Excellent",IF(Table1[[#This Row],[Vendor Score]]&gt;=75%,"Moderate","Poor"))</f>
        <v>Moderate</v>
      </c>
    </row>
    <row r="250" spans="1:21" x14ac:dyDescent="0.35">
      <c r="A250" t="s">
        <v>354</v>
      </c>
      <c r="B250" t="s">
        <v>17</v>
      </c>
      <c r="C250" t="s">
        <v>18</v>
      </c>
      <c r="D250" t="s">
        <v>55</v>
      </c>
      <c r="E250" t="s">
        <v>40</v>
      </c>
      <c r="F250">
        <v>3493</v>
      </c>
      <c r="G250">
        <v>3239</v>
      </c>
      <c r="H250" s="1">
        <v>46236</v>
      </c>
      <c r="I250" s="1">
        <v>46234</v>
      </c>
      <c r="J250">
        <v>130</v>
      </c>
      <c r="K250">
        <v>57</v>
      </c>
      <c r="L250">
        <f t="shared" si="15"/>
        <v>-2</v>
      </c>
      <c r="M250" s="6">
        <f t="shared" si="16"/>
        <v>1</v>
      </c>
      <c r="N250" s="6">
        <f t="shared" si="17"/>
        <v>0.92728313770397941</v>
      </c>
      <c r="O250" s="6">
        <f t="shared" si="18"/>
        <v>0.9598641556035814</v>
      </c>
      <c r="P250">
        <f t="shared" si="19"/>
        <v>184623</v>
      </c>
      <c r="Q250" s="6">
        <f>MIN(Table1[Unit Price])/Table1[[#This Row],[Unit Price]]</f>
        <v>8.771929824561403E-2</v>
      </c>
      <c r="R250" s="8">
        <f>IF(Table1[[#This Row],[Delivery Delay]]&gt;0,1,0)</f>
        <v>0</v>
      </c>
      <c r="S250" s="6">
        <f>(Table1[[#This Row],[OTD]]*0.4)+(Table1[[#This Row],[Quality Rate]]*0.3)+(Table1[[#This Row],[Fill Rate]]*0.2)+(Table1[[#This Row],[Cost Score]]*0.1)</f>
        <v>0.88218780404643171</v>
      </c>
      <c r="T250">
        <f>MAX(Table1[OTD])</f>
        <v>1</v>
      </c>
      <c r="U250" t="str">
        <f>IF(Table1[[#This Row],[Vendor Score]]&gt;=90%,"Excellent",IF(Table1[[#This Row],[Vendor Score]]&gt;=75%,"Moderate","Poor"))</f>
        <v>Moderate</v>
      </c>
    </row>
    <row r="251" spans="1:21" x14ac:dyDescent="0.35">
      <c r="A251" t="s">
        <v>136</v>
      </c>
      <c r="B251" t="s">
        <v>38</v>
      </c>
      <c r="C251" t="s">
        <v>39</v>
      </c>
      <c r="D251" t="s">
        <v>55</v>
      </c>
      <c r="E251" t="s">
        <v>52</v>
      </c>
      <c r="F251">
        <v>397</v>
      </c>
      <c r="G251">
        <v>370</v>
      </c>
      <c r="H251" s="1">
        <v>46097</v>
      </c>
      <c r="I251" s="1">
        <v>46096</v>
      </c>
      <c r="J251">
        <v>12</v>
      </c>
      <c r="K251">
        <v>91</v>
      </c>
      <c r="L251">
        <f t="shared" si="15"/>
        <v>-1</v>
      </c>
      <c r="M251" s="6">
        <f t="shared" si="16"/>
        <v>1</v>
      </c>
      <c r="N251" s="6">
        <f t="shared" si="17"/>
        <v>0.93198992443324935</v>
      </c>
      <c r="O251" s="6">
        <f t="shared" si="18"/>
        <v>0.96756756756756757</v>
      </c>
      <c r="P251">
        <f t="shared" si="19"/>
        <v>33670</v>
      </c>
      <c r="Q251" s="6">
        <f>MIN(Table1[Unit Price])/Table1[[#This Row],[Unit Price]]</f>
        <v>5.4945054945054944E-2</v>
      </c>
      <c r="R251" s="8">
        <f>IF(Table1[[#This Row],[Delivery Delay]]&gt;0,1,0)</f>
        <v>0</v>
      </c>
      <c r="S251" s="6">
        <f>(Table1[[#This Row],[OTD]]*0.4)+(Table1[[#This Row],[Quality Rate]]*0.3)+(Table1[[#This Row],[Fill Rate]]*0.2)+(Table1[[#This Row],[Cost Score]]*0.1)</f>
        <v>0.88216276065142574</v>
      </c>
      <c r="T251">
        <f>MAX(Table1[OTD])</f>
        <v>1</v>
      </c>
      <c r="U251" t="str">
        <f>IF(Table1[[#This Row],[Vendor Score]]&gt;=90%,"Excellent",IF(Table1[[#This Row],[Vendor Score]]&gt;=75%,"Moderate","Poor"))</f>
        <v>Moderate</v>
      </c>
    </row>
    <row r="252" spans="1:21" x14ac:dyDescent="0.35">
      <c r="A252" t="s">
        <v>326</v>
      </c>
      <c r="B252" t="s">
        <v>30</v>
      </c>
      <c r="C252" t="s">
        <v>31</v>
      </c>
      <c r="D252" t="s">
        <v>55</v>
      </c>
      <c r="E252" t="s">
        <v>15</v>
      </c>
      <c r="F252">
        <v>2301</v>
      </c>
      <c r="G252">
        <v>2171</v>
      </c>
      <c r="H252" s="1">
        <v>46381</v>
      </c>
      <c r="I252" s="1">
        <v>46381</v>
      </c>
      <c r="J252">
        <v>70</v>
      </c>
      <c r="K252">
        <v>161</v>
      </c>
      <c r="L252">
        <f t="shared" si="15"/>
        <v>0</v>
      </c>
      <c r="M252" s="6">
        <f t="shared" si="16"/>
        <v>1</v>
      </c>
      <c r="N252" s="6">
        <f t="shared" si="17"/>
        <v>0.94350282485875703</v>
      </c>
      <c r="O252" s="6">
        <f t="shared" si="18"/>
        <v>0.96775679410409954</v>
      </c>
      <c r="P252">
        <f t="shared" si="19"/>
        <v>349531</v>
      </c>
      <c r="Q252" s="6">
        <f>MIN(Table1[Unit Price])/Table1[[#This Row],[Unit Price]]</f>
        <v>3.1055900621118012E-2</v>
      </c>
      <c r="R252" s="8">
        <f>IF(Table1[[#This Row],[Delivery Delay]]&gt;0,1,0)</f>
        <v>0</v>
      </c>
      <c r="S252" s="6">
        <f>(Table1[[#This Row],[OTD]]*0.4)+(Table1[[#This Row],[Quality Rate]]*0.3)+(Table1[[#This Row],[Fill Rate]]*0.2)+(Table1[[#This Row],[Cost Score]]*0.1)</f>
        <v>0.8821331932650931</v>
      </c>
      <c r="T252">
        <f>MAX(Table1[OTD])</f>
        <v>1</v>
      </c>
      <c r="U252" t="str">
        <f>IF(Table1[[#This Row],[Vendor Score]]&gt;=90%,"Excellent",IF(Table1[[#This Row],[Vendor Score]]&gt;=75%,"Moderate","Poor"))</f>
        <v>Moderate</v>
      </c>
    </row>
    <row r="253" spans="1:21" x14ac:dyDescent="0.35">
      <c r="A253" t="s">
        <v>165</v>
      </c>
      <c r="B253" t="s">
        <v>30</v>
      </c>
      <c r="C253" t="s">
        <v>31</v>
      </c>
      <c r="D253" t="s">
        <v>19</v>
      </c>
      <c r="E253" t="s">
        <v>47</v>
      </c>
      <c r="F253">
        <v>2471</v>
      </c>
      <c r="G253">
        <v>2329</v>
      </c>
      <c r="H253" s="1">
        <v>46348</v>
      </c>
      <c r="I253" s="1">
        <v>46348</v>
      </c>
      <c r="J253">
        <v>72</v>
      </c>
      <c r="K253">
        <v>185</v>
      </c>
      <c r="L253">
        <f t="shared" si="15"/>
        <v>0</v>
      </c>
      <c r="M253" s="6">
        <f t="shared" si="16"/>
        <v>1</v>
      </c>
      <c r="N253" s="6">
        <f t="shared" si="17"/>
        <v>0.94253338729259406</v>
      </c>
      <c r="O253" s="6">
        <f t="shared" si="18"/>
        <v>0.96908544439673683</v>
      </c>
      <c r="P253">
        <f t="shared" si="19"/>
        <v>430865</v>
      </c>
      <c r="Q253" s="6">
        <f>MIN(Table1[Unit Price])/Table1[[#This Row],[Unit Price]]</f>
        <v>2.7027027027027029E-2</v>
      </c>
      <c r="R253" s="8">
        <f>IF(Table1[[#This Row],[Delivery Delay]]&gt;0,1,0)</f>
        <v>0</v>
      </c>
      <c r="S253" s="6">
        <f>(Table1[[#This Row],[OTD]]*0.4)+(Table1[[#This Row],[Quality Rate]]*0.3)+(Table1[[#This Row],[Fill Rate]]*0.2)+(Table1[[#This Row],[Cost Score]]*0.1)</f>
        <v>0.8819350134802425</v>
      </c>
      <c r="T253">
        <f>MAX(Table1[OTD])</f>
        <v>1</v>
      </c>
      <c r="U253" t="str">
        <f>IF(Table1[[#This Row],[Vendor Score]]&gt;=90%,"Excellent",IF(Table1[[#This Row],[Vendor Score]]&gt;=75%,"Moderate","Poor"))</f>
        <v>Moderate</v>
      </c>
    </row>
    <row r="254" spans="1:21" x14ac:dyDescent="0.35">
      <c r="A254" t="s">
        <v>517</v>
      </c>
      <c r="B254" t="s">
        <v>38</v>
      </c>
      <c r="C254" t="s">
        <v>39</v>
      </c>
      <c r="D254" t="s">
        <v>33</v>
      </c>
      <c r="E254" t="s">
        <v>70</v>
      </c>
      <c r="F254">
        <v>2850</v>
      </c>
      <c r="G254">
        <v>2633</v>
      </c>
      <c r="H254" s="1">
        <v>46045</v>
      </c>
      <c r="I254" s="1">
        <v>46043</v>
      </c>
      <c r="J254">
        <v>58</v>
      </c>
      <c r="K254">
        <v>134</v>
      </c>
      <c r="L254">
        <f t="shared" si="15"/>
        <v>-2</v>
      </c>
      <c r="M254" s="6">
        <f t="shared" si="16"/>
        <v>1</v>
      </c>
      <c r="N254" s="6">
        <f t="shared" si="17"/>
        <v>0.92385964912280705</v>
      </c>
      <c r="O254" s="6">
        <f t="shared" si="18"/>
        <v>0.97797189517660466</v>
      </c>
      <c r="P254">
        <f t="shared" si="19"/>
        <v>352822</v>
      </c>
      <c r="Q254" s="6">
        <f>MIN(Table1[Unit Price])/Table1[[#This Row],[Unit Price]]</f>
        <v>3.7313432835820892E-2</v>
      </c>
      <c r="R254" s="8">
        <f>IF(Table1[[#This Row],[Delivery Delay]]&gt;0,1,0)</f>
        <v>0</v>
      </c>
      <c r="S254" s="6">
        <f>(Table1[[#This Row],[OTD]]*0.4)+(Table1[[#This Row],[Quality Rate]]*0.3)+(Table1[[#This Row],[Fill Rate]]*0.2)+(Table1[[#This Row],[Cost Score]]*0.1)</f>
        <v>0.88189484166112486</v>
      </c>
      <c r="T254">
        <f>MAX(Table1[OTD])</f>
        <v>1</v>
      </c>
      <c r="U254" t="str">
        <f>IF(Table1[[#This Row],[Vendor Score]]&gt;=90%,"Excellent",IF(Table1[[#This Row],[Vendor Score]]&gt;=75%,"Moderate","Poor"))</f>
        <v>Moderate</v>
      </c>
    </row>
    <row r="255" spans="1:21" x14ac:dyDescent="0.35">
      <c r="A255" t="s">
        <v>84</v>
      </c>
      <c r="B255" t="s">
        <v>59</v>
      </c>
      <c r="C255" t="s">
        <v>60</v>
      </c>
      <c r="D255" t="s">
        <v>19</v>
      </c>
      <c r="E255" t="s">
        <v>15</v>
      </c>
      <c r="F255">
        <v>1272</v>
      </c>
      <c r="G255">
        <v>1254</v>
      </c>
      <c r="H255" s="1">
        <v>46377</v>
      </c>
      <c r="I255" s="1">
        <v>46376</v>
      </c>
      <c r="J255">
        <v>79</v>
      </c>
      <c r="K255">
        <v>139</v>
      </c>
      <c r="L255">
        <f t="shared" si="15"/>
        <v>-1</v>
      </c>
      <c r="M255" s="6">
        <f t="shared" si="16"/>
        <v>1</v>
      </c>
      <c r="N255" s="6">
        <f t="shared" si="17"/>
        <v>0.98584905660377353</v>
      </c>
      <c r="O255" s="6">
        <f t="shared" si="18"/>
        <v>0.93700159489633172</v>
      </c>
      <c r="P255">
        <f t="shared" si="19"/>
        <v>174306</v>
      </c>
      <c r="Q255" s="6">
        <f>MIN(Table1[Unit Price])/Table1[[#This Row],[Unit Price]]</f>
        <v>3.5971223021582732E-2</v>
      </c>
      <c r="R255" s="8">
        <f>IF(Table1[[#This Row],[Delivery Delay]]&gt;0,1,0)</f>
        <v>0</v>
      </c>
      <c r="S255" s="6">
        <f>(Table1[[#This Row],[OTD]]*0.4)+(Table1[[#This Row],[Quality Rate]]*0.3)+(Table1[[#This Row],[Fill Rate]]*0.2)+(Table1[[#This Row],[Cost Score]]*0.1)</f>
        <v>0.88186741209181252</v>
      </c>
      <c r="T255">
        <f>MAX(Table1[OTD])</f>
        <v>1</v>
      </c>
      <c r="U255" t="str">
        <f>IF(Table1[[#This Row],[Vendor Score]]&gt;=90%,"Excellent",IF(Table1[[#This Row],[Vendor Score]]&gt;=75%,"Moderate","Poor"))</f>
        <v>Moderate</v>
      </c>
    </row>
    <row r="256" spans="1:21" x14ac:dyDescent="0.35">
      <c r="A256" t="s">
        <v>188</v>
      </c>
      <c r="B256" t="s">
        <v>26</v>
      </c>
      <c r="C256" t="s">
        <v>27</v>
      </c>
      <c r="D256" t="s">
        <v>55</v>
      </c>
      <c r="E256" t="s">
        <v>34</v>
      </c>
      <c r="F256">
        <v>219</v>
      </c>
      <c r="G256">
        <v>209</v>
      </c>
      <c r="H256" s="1">
        <v>46195</v>
      </c>
      <c r="I256" s="1">
        <v>46194</v>
      </c>
      <c r="J256">
        <v>8</v>
      </c>
      <c r="K256">
        <v>203</v>
      </c>
      <c r="L256">
        <f t="shared" si="15"/>
        <v>-1</v>
      </c>
      <c r="M256" s="6">
        <f t="shared" si="16"/>
        <v>1</v>
      </c>
      <c r="N256" s="6">
        <f t="shared" si="17"/>
        <v>0.954337899543379</v>
      </c>
      <c r="O256" s="6">
        <f t="shared" si="18"/>
        <v>0.96172248803827753</v>
      </c>
      <c r="P256">
        <f t="shared" si="19"/>
        <v>42427</v>
      </c>
      <c r="Q256" s="6">
        <f>MIN(Table1[Unit Price])/Table1[[#This Row],[Unit Price]]</f>
        <v>2.4630541871921183E-2</v>
      </c>
      <c r="R256" s="8">
        <f>IF(Table1[[#This Row],[Delivery Delay]]&gt;0,1,0)</f>
        <v>0</v>
      </c>
      <c r="S256" s="6">
        <f>(Table1[[#This Row],[OTD]]*0.4)+(Table1[[#This Row],[Quality Rate]]*0.3)+(Table1[[#This Row],[Fill Rate]]*0.2)+(Table1[[#This Row],[Cost Score]]*0.1)</f>
        <v>0.88184738050735123</v>
      </c>
      <c r="T256">
        <f>MAX(Table1[OTD])</f>
        <v>1</v>
      </c>
      <c r="U256" t="str">
        <f>IF(Table1[[#This Row],[Vendor Score]]&gt;=90%,"Excellent",IF(Table1[[#This Row],[Vendor Score]]&gt;=75%,"Moderate","Poor"))</f>
        <v>Moderate</v>
      </c>
    </row>
    <row r="257" spans="1:21" x14ac:dyDescent="0.35">
      <c r="A257" t="s">
        <v>316</v>
      </c>
      <c r="B257" t="s">
        <v>22</v>
      </c>
      <c r="C257" t="s">
        <v>23</v>
      </c>
      <c r="D257" t="s">
        <v>33</v>
      </c>
      <c r="E257" t="s">
        <v>70</v>
      </c>
      <c r="F257">
        <v>3369</v>
      </c>
      <c r="G257">
        <v>3280</v>
      </c>
      <c r="H257" s="1">
        <v>46040</v>
      </c>
      <c r="I257" s="1">
        <v>46040</v>
      </c>
      <c r="J257">
        <v>230</v>
      </c>
      <c r="K257">
        <v>63</v>
      </c>
      <c r="L257">
        <f t="shared" si="15"/>
        <v>0</v>
      </c>
      <c r="M257" s="6">
        <f t="shared" si="16"/>
        <v>1</v>
      </c>
      <c r="N257" s="6">
        <f t="shared" si="17"/>
        <v>0.97358266547937078</v>
      </c>
      <c r="O257" s="6">
        <f t="shared" si="18"/>
        <v>0.92987804878048785</v>
      </c>
      <c r="P257">
        <f t="shared" si="19"/>
        <v>206640</v>
      </c>
      <c r="Q257" s="6">
        <f>MIN(Table1[Unit Price])/Table1[[#This Row],[Unit Price]]</f>
        <v>7.9365079365079361E-2</v>
      </c>
      <c r="R257" s="8">
        <f>IF(Table1[[#This Row],[Delivery Delay]]&gt;0,1,0)</f>
        <v>0</v>
      </c>
      <c r="S257" s="6">
        <f>(Table1[[#This Row],[OTD]]*0.4)+(Table1[[#This Row],[Quality Rate]]*0.3)+(Table1[[#This Row],[Fill Rate]]*0.2)+(Table1[[#This Row],[Cost Score]]*0.1)</f>
        <v>0.88161645566652846</v>
      </c>
      <c r="T257">
        <f>MAX(Table1[OTD])</f>
        <v>1</v>
      </c>
      <c r="U257" t="str">
        <f>IF(Table1[[#This Row],[Vendor Score]]&gt;=90%,"Excellent",IF(Table1[[#This Row],[Vendor Score]]&gt;=75%,"Moderate","Poor"))</f>
        <v>Moderate</v>
      </c>
    </row>
    <row r="258" spans="1:21" x14ac:dyDescent="0.35">
      <c r="A258" t="s">
        <v>341</v>
      </c>
      <c r="B258" t="s">
        <v>78</v>
      </c>
      <c r="C258" t="s">
        <v>79</v>
      </c>
      <c r="D258" t="s">
        <v>33</v>
      </c>
      <c r="E258" t="s">
        <v>20</v>
      </c>
      <c r="F258">
        <v>2451</v>
      </c>
      <c r="G258">
        <v>2375</v>
      </c>
      <c r="H258" s="1">
        <v>46228</v>
      </c>
      <c r="I258" s="1">
        <v>46226</v>
      </c>
      <c r="J258">
        <v>119</v>
      </c>
      <c r="K258">
        <v>177</v>
      </c>
      <c r="L258">
        <f t="shared" ref="L258:L321" si="20">I258-H258</f>
        <v>-2</v>
      </c>
      <c r="M258" s="6">
        <f t="shared" ref="M258:M321" si="21">IF(L258&lt;=0,1,0)</f>
        <v>1</v>
      </c>
      <c r="N258" s="6">
        <f t="shared" ref="N258:N321" si="22">G258/F258</f>
        <v>0.96899224806201545</v>
      </c>
      <c r="O258" s="6">
        <f t="shared" ref="O258:O321" si="23">(G258-J258)/G258</f>
        <v>0.94989473684210524</v>
      </c>
      <c r="P258">
        <f t="shared" ref="P258:P321" si="24">G258*K258</f>
        <v>420375</v>
      </c>
      <c r="Q258" s="6">
        <f>MIN(Table1[Unit Price])/Table1[[#This Row],[Unit Price]]</f>
        <v>2.8248587570621469E-2</v>
      </c>
      <c r="R258" s="8">
        <f>IF(Table1[[#This Row],[Delivery Delay]]&gt;0,1,0)</f>
        <v>0</v>
      </c>
      <c r="S258" s="6">
        <f>(Table1[[#This Row],[OTD]]*0.4)+(Table1[[#This Row],[Quality Rate]]*0.3)+(Table1[[#This Row],[Fill Rate]]*0.2)+(Table1[[#This Row],[Cost Score]]*0.1)</f>
        <v>0.88159172942209685</v>
      </c>
      <c r="T258">
        <f>MAX(Table1[OTD])</f>
        <v>1</v>
      </c>
      <c r="U258" t="str">
        <f>IF(Table1[[#This Row],[Vendor Score]]&gt;=90%,"Excellent",IF(Table1[[#This Row],[Vendor Score]]&gt;=75%,"Moderate","Poor"))</f>
        <v>Moderate</v>
      </c>
    </row>
    <row r="259" spans="1:21" x14ac:dyDescent="0.35">
      <c r="A259" t="s">
        <v>387</v>
      </c>
      <c r="B259" t="s">
        <v>30</v>
      </c>
      <c r="C259" t="s">
        <v>31</v>
      </c>
      <c r="D259" t="s">
        <v>33</v>
      </c>
      <c r="E259" t="s">
        <v>28</v>
      </c>
      <c r="F259">
        <v>2587</v>
      </c>
      <c r="G259">
        <v>2405</v>
      </c>
      <c r="H259" s="1">
        <v>46285</v>
      </c>
      <c r="I259" s="1">
        <v>46283</v>
      </c>
      <c r="J259">
        <v>76</v>
      </c>
      <c r="K259">
        <v>98</v>
      </c>
      <c r="L259">
        <f t="shared" si="20"/>
        <v>-2</v>
      </c>
      <c r="M259" s="6">
        <f t="shared" si="21"/>
        <v>1</v>
      </c>
      <c r="N259" s="6">
        <f t="shared" si="22"/>
        <v>0.92964824120603018</v>
      </c>
      <c r="O259" s="6">
        <f t="shared" si="23"/>
        <v>0.9683991683991684</v>
      </c>
      <c r="P259">
        <f t="shared" si="24"/>
        <v>235690</v>
      </c>
      <c r="Q259" s="6">
        <f>MIN(Table1[Unit Price])/Table1[[#This Row],[Unit Price]]</f>
        <v>5.1020408163265307E-2</v>
      </c>
      <c r="R259" s="8">
        <f>IF(Table1[[#This Row],[Delivery Delay]]&gt;0,1,0)</f>
        <v>0</v>
      </c>
      <c r="S259" s="6">
        <f>(Table1[[#This Row],[OTD]]*0.4)+(Table1[[#This Row],[Quality Rate]]*0.3)+(Table1[[#This Row],[Fill Rate]]*0.2)+(Table1[[#This Row],[Cost Score]]*0.1)</f>
        <v>0.88155143957728299</v>
      </c>
      <c r="T259">
        <f>MAX(Table1[OTD])</f>
        <v>1</v>
      </c>
      <c r="U259" t="str">
        <f>IF(Table1[[#This Row],[Vendor Score]]&gt;=90%,"Excellent",IF(Table1[[#This Row],[Vendor Score]]&gt;=75%,"Moderate","Poor"))</f>
        <v>Moderate</v>
      </c>
    </row>
    <row r="260" spans="1:21" x14ac:dyDescent="0.35">
      <c r="A260" t="s">
        <v>106</v>
      </c>
      <c r="B260" t="s">
        <v>22</v>
      </c>
      <c r="C260" t="s">
        <v>23</v>
      </c>
      <c r="D260" t="s">
        <v>19</v>
      </c>
      <c r="E260" t="s">
        <v>70</v>
      </c>
      <c r="F260">
        <v>1198</v>
      </c>
      <c r="G260">
        <v>1163</v>
      </c>
      <c r="H260" s="1">
        <v>46043</v>
      </c>
      <c r="I260" s="1">
        <v>46041</v>
      </c>
      <c r="J260">
        <v>83</v>
      </c>
      <c r="K260">
        <v>57</v>
      </c>
      <c r="L260">
        <f t="shared" si="20"/>
        <v>-2</v>
      </c>
      <c r="M260" s="6">
        <f t="shared" si="21"/>
        <v>1</v>
      </c>
      <c r="N260" s="6">
        <f t="shared" si="22"/>
        <v>0.97078464106844742</v>
      </c>
      <c r="O260" s="6">
        <f t="shared" si="23"/>
        <v>0.92863284608770424</v>
      </c>
      <c r="P260">
        <f t="shared" si="24"/>
        <v>66291</v>
      </c>
      <c r="Q260" s="6">
        <f>MIN(Table1[Unit Price])/Table1[[#This Row],[Unit Price]]</f>
        <v>8.771929824561403E-2</v>
      </c>
      <c r="R260" s="8">
        <f>IF(Table1[[#This Row],[Delivery Delay]]&gt;0,1,0)</f>
        <v>0</v>
      </c>
      <c r="S260" s="6">
        <f>(Table1[[#This Row],[OTD]]*0.4)+(Table1[[#This Row],[Quality Rate]]*0.3)+(Table1[[#This Row],[Fill Rate]]*0.2)+(Table1[[#This Row],[Cost Score]]*0.1)</f>
        <v>0.88151871186456221</v>
      </c>
      <c r="T260">
        <f>MAX(Table1[OTD])</f>
        <v>1</v>
      </c>
      <c r="U260" t="str">
        <f>IF(Table1[[#This Row],[Vendor Score]]&gt;=90%,"Excellent",IF(Table1[[#This Row],[Vendor Score]]&gt;=75%,"Moderate","Poor"))</f>
        <v>Moderate</v>
      </c>
    </row>
    <row r="261" spans="1:21" x14ac:dyDescent="0.35">
      <c r="A261" t="s">
        <v>362</v>
      </c>
      <c r="B261" t="s">
        <v>38</v>
      </c>
      <c r="C261" t="s">
        <v>39</v>
      </c>
      <c r="D261" t="s">
        <v>55</v>
      </c>
      <c r="E261" t="s">
        <v>40</v>
      </c>
      <c r="F261">
        <v>4519</v>
      </c>
      <c r="G261">
        <v>4161</v>
      </c>
      <c r="H261" s="1">
        <v>46248</v>
      </c>
      <c r="I261" s="1">
        <v>46248</v>
      </c>
      <c r="J261">
        <v>84</v>
      </c>
      <c r="K261">
        <v>155</v>
      </c>
      <c r="L261">
        <f t="shared" si="20"/>
        <v>0</v>
      </c>
      <c r="M261" s="6">
        <f t="shared" si="21"/>
        <v>1</v>
      </c>
      <c r="N261" s="6">
        <f t="shared" si="22"/>
        <v>0.9207789333923434</v>
      </c>
      <c r="O261" s="6">
        <f t="shared" si="23"/>
        <v>0.97981254506128335</v>
      </c>
      <c r="P261">
        <f t="shared" si="24"/>
        <v>644955</v>
      </c>
      <c r="Q261" s="6">
        <f>MIN(Table1[Unit Price])/Table1[[#This Row],[Unit Price]]</f>
        <v>3.2258064516129031E-2</v>
      </c>
      <c r="R261" s="8">
        <f>IF(Table1[[#This Row],[Delivery Delay]]&gt;0,1,0)</f>
        <v>0</v>
      </c>
      <c r="S261" s="6">
        <f>(Table1[[#This Row],[OTD]]*0.4)+(Table1[[#This Row],[Quality Rate]]*0.3)+(Table1[[#This Row],[Fill Rate]]*0.2)+(Table1[[#This Row],[Cost Score]]*0.1)</f>
        <v>0.88132535664846645</v>
      </c>
      <c r="T261">
        <f>MAX(Table1[OTD])</f>
        <v>1</v>
      </c>
      <c r="U261" t="str">
        <f>IF(Table1[[#This Row],[Vendor Score]]&gt;=90%,"Excellent",IF(Table1[[#This Row],[Vendor Score]]&gt;=75%,"Moderate","Poor"))</f>
        <v>Moderate</v>
      </c>
    </row>
    <row r="262" spans="1:21" x14ac:dyDescent="0.35">
      <c r="A262" t="s">
        <v>111</v>
      </c>
      <c r="B262" t="s">
        <v>17</v>
      </c>
      <c r="C262" t="s">
        <v>18</v>
      </c>
      <c r="D262" t="s">
        <v>55</v>
      </c>
      <c r="E262" t="s">
        <v>52</v>
      </c>
      <c r="F262">
        <v>1173</v>
      </c>
      <c r="G262">
        <v>1120</v>
      </c>
      <c r="H262" s="1">
        <v>46083</v>
      </c>
      <c r="I262" s="1">
        <v>46081</v>
      </c>
      <c r="J262">
        <v>48</v>
      </c>
      <c r="K262">
        <v>158</v>
      </c>
      <c r="L262">
        <f t="shared" si="20"/>
        <v>-2</v>
      </c>
      <c r="M262" s="6">
        <f t="shared" si="21"/>
        <v>1</v>
      </c>
      <c r="N262" s="6">
        <f t="shared" si="22"/>
        <v>0.95481670929241258</v>
      </c>
      <c r="O262" s="6">
        <f t="shared" si="23"/>
        <v>0.95714285714285718</v>
      </c>
      <c r="P262">
        <f t="shared" si="24"/>
        <v>176960</v>
      </c>
      <c r="Q262" s="6">
        <f>MIN(Table1[Unit Price])/Table1[[#This Row],[Unit Price]]</f>
        <v>3.1645569620253167E-2</v>
      </c>
      <c r="R262" s="8">
        <f>IF(Table1[[#This Row],[Delivery Delay]]&gt;0,1,0)</f>
        <v>0</v>
      </c>
      <c r="S262" s="6">
        <f>(Table1[[#This Row],[OTD]]*0.4)+(Table1[[#This Row],[Quality Rate]]*0.3)+(Table1[[#This Row],[Fill Rate]]*0.2)+(Table1[[#This Row],[Cost Score]]*0.1)</f>
        <v>0.88127075596336502</v>
      </c>
      <c r="T262">
        <f>MAX(Table1[OTD])</f>
        <v>1</v>
      </c>
      <c r="U262" t="str">
        <f>IF(Table1[[#This Row],[Vendor Score]]&gt;=90%,"Excellent",IF(Table1[[#This Row],[Vendor Score]]&gt;=75%,"Moderate","Poor"))</f>
        <v>Moderate</v>
      </c>
    </row>
    <row r="263" spans="1:21" x14ac:dyDescent="0.35">
      <c r="A263" t="s">
        <v>93</v>
      </c>
      <c r="B263" t="s">
        <v>38</v>
      </c>
      <c r="C263" t="s">
        <v>39</v>
      </c>
      <c r="D263" t="s">
        <v>55</v>
      </c>
      <c r="E263" t="s">
        <v>20</v>
      </c>
      <c r="F263">
        <v>3565</v>
      </c>
      <c r="G263">
        <v>3299</v>
      </c>
      <c r="H263" s="1">
        <v>46228</v>
      </c>
      <c r="I263" s="1">
        <v>46228</v>
      </c>
      <c r="J263">
        <v>67</v>
      </c>
      <c r="K263">
        <v>221</v>
      </c>
      <c r="L263">
        <f t="shared" si="20"/>
        <v>0</v>
      </c>
      <c r="M263" s="6">
        <f t="shared" si="21"/>
        <v>1</v>
      </c>
      <c r="N263" s="6">
        <f t="shared" si="22"/>
        <v>0.92538569424964934</v>
      </c>
      <c r="O263" s="6">
        <f t="shared" si="23"/>
        <v>0.97969081539860559</v>
      </c>
      <c r="P263">
        <f t="shared" si="24"/>
        <v>729079</v>
      </c>
      <c r="Q263" s="6">
        <f>MIN(Table1[Unit Price])/Table1[[#This Row],[Unit Price]]</f>
        <v>2.2624434389140271E-2</v>
      </c>
      <c r="R263" s="8">
        <f>IF(Table1[[#This Row],[Delivery Delay]]&gt;0,1,0)</f>
        <v>0</v>
      </c>
      <c r="S263" s="6">
        <f>(Table1[[#This Row],[OTD]]*0.4)+(Table1[[#This Row],[Quality Rate]]*0.3)+(Table1[[#This Row],[Fill Rate]]*0.2)+(Table1[[#This Row],[Cost Score]]*0.1)</f>
        <v>0.88124682690842571</v>
      </c>
      <c r="T263">
        <f>MAX(Table1[OTD])</f>
        <v>1</v>
      </c>
      <c r="U263" t="str">
        <f>IF(Table1[[#This Row],[Vendor Score]]&gt;=90%,"Excellent",IF(Table1[[#This Row],[Vendor Score]]&gt;=75%,"Moderate","Poor"))</f>
        <v>Moderate</v>
      </c>
    </row>
    <row r="264" spans="1:21" x14ac:dyDescent="0.35">
      <c r="A264" t="s">
        <v>398</v>
      </c>
      <c r="B264" t="s">
        <v>78</v>
      </c>
      <c r="C264" t="s">
        <v>79</v>
      </c>
      <c r="D264" t="s">
        <v>14</v>
      </c>
      <c r="E264" t="s">
        <v>20</v>
      </c>
      <c r="F264">
        <v>745</v>
      </c>
      <c r="G264">
        <v>726</v>
      </c>
      <c r="H264" s="1">
        <v>46222</v>
      </c>
      <c r="I264" s="1">
        <v>46221</v>
      </c>
      <c r="J264">
        <v>42</v>
      </c>
      <c r="K264">
        <v>148</v>
      </c>
      <c r="L264">
        <f t="shared" si="20"/>
        <v>-1</v>
      </c>
      <c r="M264" s="6">
        <f t="shared" si="21"/>
        <v>1</v>
      </c>
      <c r="N264" s="6">
        <f t="shared" si="22"/>
        <v>0.97449664429530203</v>
      </c>
      <c r="O264" s="6">
        <f t="shared" si="23"/>
        <v>0.94214876033057848</v>
      </c>
      <c r="P264">
        <f t="shared" si="24"/>
        <v>107448</v>
      </c>
      <c r="Q264" s="6">
        <f>MIN(Table1[Unit Price])/Table1[[#This Row],[Unit Price]]</f>
        <v>3.3783783783783786E-2</v>
      </c>
      <c r="R264" s="8">
        <f>IF(Table1[[#This Row],[Delivery Delay]]&gt;0,1,0)</f>
        <v>0</v>
      </c>
      <c r="S264" s="6">
        <f>(Table1[[#This Row],[OTD]]*0.4)+(Table1[[#This Row],[Quality Rate]]*0.3)+(Table1[[#This Row],[Fill Rate]]*0.2)+(Table1[[#This Row],[Cost Score]]*0.1)</f>
        <v>0.88092233533661235</v>
      </c>
      <c r="T264">
        <f>MAX(Table1[OTD])</f>
        <v>1</v>
      </c>
      <c r="U264" t="str">
        <f>IF(Table1[[#This Row],[Vendor Score]]&gt;=90%,"Excellent",IF(Table1[[#This Row],[Vendor Score]]&gt;=75%,"Moderate","Poor"))</f>
        <v>Moderate</v>
      </c>
    </row>
    <row r="265" spans="1:21" x14ac:dyDescent="0.35">
      <c r="A265" t="s">
        <v>236</v>
      </c>
      <c r="B265" t="s">
        <v>59</v>
      </c>
      <c r="C265" t="s">
        <v>60</v>
      </c>
      <c r="D265" t="s">
        <v>33</v>
      </c>
      <c r="E265" t="s">
        <v>34</v>
      </c>
      <c r="F265">
        <v>4354</v>
      </c>
      <c r="G265">
        <v>4203</v>
      </c>
      <c r="H265" s="1">
        <v>46194</v>
      </c>
      <c r="I265" s="1">
        <v>46192</v>
      </c>
      <c r="J265">
        <v>255</v>
      </c>
      <c r="K265">
        <v>86</v>
      </c>
      <c r="L265">
        <f t="shared" si="20"/>
        <v>-2</v>
      </c>
      <c r="M265" s="6">
        <f t="shared" si="21"/>
        <v>1</v>
      </c>
      <c r="N265" s="6">
        <f t="shared" si="22"/>
        <v>0.96531924666972901</v>
      </c>
      <c r="O265" s="6">
        <f t="shared" si="23"/>
        <v>0.93932905067808703</v>
      </c>
      <c r="P265">
        <f t="shared" si="24"/>
        <v>361458</v>
      </c>
      <c r="Q265" s="6">
        <f>MIN(Table1[Unit Price])/Table1[[#This Row],[Unit Price]]</f>
        <v>5.8139534883720929E-2</v>
      </c>
      <c r="R265" s="8">
        <f>IF(Table1[[#This Row],[Delivery Delay]]&gt;0,1,0)</f>
        <v>0</v>
      </c>
      <c r="S265" s="6">
        <f>(Table1[[#This Row],[OTD]]*0.4)+(Table1[[#This Row],[Quality Rate]]*0.3)+(Table1[[#This Row],[Fill Rate]]*0.2)+(Table1[[#This Row],[Cost Score]]*0.1)</f>
        <v>0.88067651802574409</v>
      </c>
      <c r="T265">
        <f>MAX(Table1[OTD])</f>
        <v>1</v>
      </c>
      <c r="U265" t="str">
        <f>IF(Table1[[#This Row],[Vendor Score]]&gt;=90%,"Excellent",IF(Table1[[#This Row],[Vendor Score]]&gt;=75%,"Moderate","Poor"))</f>
        <v>Moderate</v>
      </c>
    </row>
    <row r="266" spans="1:21" x14ac:dyDescent="0.35">
      <c r="A266" t="s">
        <v>133</v>
      </c>
      <c r="B266" t="s">
        <v>17</v>
      </c>
      <c r="C266" t="s">
        <v>18</v>
      </c>
      <c r="D266" t="s">
        <v>14</v>
      </c>
      <c r="E266" t="s">
        <v>96</v>
      </c>
      <c r="F266">
        <v>2403</v>
      </c>
      <c r="G266">
        <v>2219</v>
      </c>
      <c r="H266" s="1">
        <v>46117</v>
      </c>
      <c r="I266" s="1">
        <v>46117</v>
      </c>
      <c r="J266">
        <v>90</v>
      </c>
      <c r="K266">
        <v>62</v>
      </c>
      <c r="L266">
        <f t="shared" si="20"/>
        <v>0</v>
      </c>
      <c r="M266" s="6">
        <f t="shared" si="21"/>
        <v>1</v>
      </c>
      <c r="N266" s="6">
        <f t="shared" si="22"/>
        <v>0.92342904702455264</v>
      </c>
      <c r="O266" s="6">
        <f t="shared" si="23"/>
        <v>0.9594411897251014</v>
      </c>
      <c r="P266">
        <f t="shared" si="24"/>
        <v>137578</v>
      </c>
      <c r="Q266" s="6">
        <f>MIN(Table1[Unit Price])/Table1[[#This Row],[Unit Price]]</f>
        <v>8.0645161290322578E-2</v>
      </c>
      <c r="R266" s="8">
        <f>IF(Table1[[#This Row],[Delivery Delay]]&gt;0,1,0)</f>
        <v>0</v>
      </c>
      <c r="S266" s="6">
        <f>(Table1[[#This Row],[OTD]]*0.4)+(Table1[[#This Row],[Quality Rate]]*0.3)+(Table1[[#This Row],[Fill Rate]]*0.2)+(Table1[[#This Row],[Cost Score]]*0.1)</f>
        <v>0.8805826824514732</v>
      </c>
      <c r="T266">
        <f>MAX(Table1[OTD])</f>
        <v>1</v>
      </c>
      <c r="U266" t="str">
        <f>IF(Table1[[#This Row],[Vendor Score]]&gt;=90%,"Excellent",IF(Table1[[#This Row],[Vendor Score]]&gt;=75%,"Moderate","Poor"))</f>
        <v>Moderate</v>
      </c>
    </row>
    <row r="267" spans="1:21" x14ac:dyDescent="0.35">
      <c r="A267" t="s">
        <v>492</v>
      </c>
      <c r="B267" t="s">
        <v>78</v>
      </c>
      <c r="C267" t="s">
        <v>79</v>
      </c>
      <c r="D267" t="s">
        <v>33</v>
      </c>
      <c r="E267" t="s">
        <v>28</v>
      </c>
      <c r="F267">
        <v>589</v>
      </c>
      <c r="G267">
        <v>570</v>
      </c>
      <c r="H267" s="1">
        <v>46292</v>
      </c>
      <c r="I267" s="1">
        <v>46291</v>
      </c>
      <c r="J267">
        <v>30</v>
      </c>
      <c r="K267">
        <v>180</v>
      </c>
      <c r="L267">
        <f t="shared" si="20"/>
        <v>-1</v>
      </c>
      <c r="M267" s="6">
        <f t="shared" si="21"/>
        <v>1</v>
      </c>
      <c r="N267" s="6">
        <f t="shared" si="22"/>
        <v>0.967741935483871</v>
      </c>
      <c r="O267" s="6">
        <f t="shared" si="23"/>
        <v>0.94736842105263153</v>
      </c>
      <c r="P267">
        <f t="shared" si="24"/>
        <v>102600</v>
      </c>
      <c r="Q267" s="6">
        <f>MIN(Table1[Unit Price])/Table1[[#This Row],[Unit Price]]</f>
        <v>2.7777777777777776E-2</v>
      </c>
      <c r="R267" s="8">
        <f>IF(Table1[[#This Row],[Delivery Delay]]&gt;0,1,0)</f>
        <v>0</v>
      </c>
      <c r="S267" s="6">
        <f>(Table1[[#This Row],[OTD]]*0.4)+(Table1[[#This Row],[Quality Rate]]*0.3)+(Table1[[#This Row],[Fill Rate]]*0.2)+(Table1[[#This Row],[Cost Score]]*0.1)</f>
        <v>0.8805366911903415</v>
      </c>
      <c r="T267">
        <f>MAX(Table1[OTD])</f>
        <v>1</v>
      </c>
      <c r="U267" t="str">
        <f>IF(Table1[[#This Row],[Vendor Score]]&gt;=90%,"Excellent",IF(Table1[[#This Row],[Vendor Score]]&gt;=75%,"Moderate","Poor"))</f>
        <v>Moderate</v>
      </c>
    </row>
    <row r="268" spans="1:21" x14ac:dyDescent="0.35">
      <c r="A268" t="s">
        <v>544</v>
      </c>
      <c r="B268" t="s">
        <v>12</v>
      </c>
      <c r="C268" t="s">
        <v>13</v>
      </c>
      <c r="D268" t="s">
        <v>33</v>
      </c>
      <c r="E268" t="s">
        <v>63</v>
      </c>
      <c r="F268">
        <v>3448</v>
      </c>
      <c r="G268">
        <v>3431</v>
      </c>
      <c r="H268" s="1">
        <v>46070</v>
      </c>
      <c r="I268" s="1">
        <v>46068</v>
      </c>
      <c r="J268">
        <v>416</v>
      </c>
      <c r="K268">
        <v>28</v>
      </c>
      <c r="L268">
        <f t="shared" si="20"/>
        <v>-2</v>
      </c>
      <c r="M268" s="6">
        <f t="shared" si="21"/>
        <v>1</v>
      </c>
      <c r="N268" s="6">
        <f t="shared" si="22"/>
        <v>0.99506960556844548</v>
      </c>
      <c r="O268" s="6">
        <f t="shared" si="23"/>
        <v>0.87875255027688726</v>
      </c>
      <c r="P268">
        <f t="shared" si="24"/>
        <v>96068</v>
      </c>
      <c r="Q268" s="6">
        <f>MIN(Table1[Unit Price])/Table1[[#This Row],[Unit Price]]</f>
        <v>0.17857142857142858</v>
      </c>
      <c r="R268" s="8">
        <f>IF(Table1[[#This Row],[Delivery Delay]]&gt;0,1,0)</f>
        <v>0</v>
      </c>
      <c r="S268" s="6">
        <f>(Table1[[#This Row],[OTD]]*0.4)+(Table1[[#This Row],[Quality Rate]]*0.3)+(Table1[[#This Row],[Fill Rate]]*0.2)+(Table1[[#This Row],[Cost Score]]*0.1)</f>
        <v>0.88049682905389814</v>
      </c>
      <c r="T268">
        <f>MAX(Table1[OTD])</f>
        <v>1</v>
      </c>
      <c r="U268" t="str">
        <f>IF(Table1[[#This Row],[Vendor Score]]&gt;=90%,"Excellent",IF(Table1[[#This Row],[Vendor Score]]&gt;=75%,"Moderate","Poor"))</f>
        <v>Moderate</v>
      </c>
    </row>
    <row r="269" spans="1:21" x14ac:dyDescent="0.35">
      <c r="A269" t="s">
        <v>56</v>
      </c>
      <c r="B269" t="s">
        <v>22</v>
      </c>
      <c r="C269" t="s">
        <v>23</v>
      </c>
      <c r="D269" t="s">
        <v>19</v>
      </c>
      <c r="E269" t="s">
        <v>57</v>
      </c>
      <c r="F269">
        <v>1805</v>
      </c>
      <c r="G269">
        <v>1796</v>
      </c>
      <c r="H269" s="1">
        <v>46305</v>
      </c>
      <c r="I269" s="1">
        <v>46304</v>
      </c>
      <c r="J269">
        <v>128</v>
      </c>
      <c r="K269">
        <v>174</v>
      </c>
      <c r="L269">
        <f t="shared" si="20"/>
        <v>-1</v>
      </c>
      <c r="M269" s="6">
        <f t="shared" si="21"/>
        <v>1</v>
      </c>
      <c r="N269" s="6">
        <f t="shared" si="22"/>
        <v>0.99501385041551249</v>
      </c>
      <c r="O269" s="6">
        <f t="shared" si="23"/>
        <v>0.92873051224944325</v>
      </c>
      <c r="P269">
        <f t="shared" si="24"/>
        <v>312504</v>
      </c>
      <c r="Q269" s="6">
        <f>MIN(Table1[Unit Price])/Table1[[#This Row],[Unit Price]]</f>
        <v>2.8735632183908046E-2</v>
      </c>
      <c r="R269" s="8">
        <f>IF(Table1[[#This Row],[Delivery Delay]]&gt;0,1,0)</f>
        <v>0</v>
      </c>
      <c r="S269" s="6">
        <f>(Table1[[#This Row],[OTD]]*0.4)+(Table1[[#This Row],[Quality Rate]]*0.3)+(Table1[[#This Row],[Fill Rate]]*0.2)+(Table1[[#This Row],[Cost Score]]*0.1)</f>
        <v>0.88049548697632629</v>
      </c>
      <c r="T269">
        <f>MAX(Table1[OTD])</f>
        <v>1</v>
      </c>
      <c r="U269" t="str">
        <f>IF(Table1[[#This Row],[Vendor Score]]&gt;=90%,"Excellent",IF(Table1[[#This Row],[Vendor Score]]&gt;=75%,"Moderate","Poor"))</f>
        <v>Moderate</v>
      </c>
    </row>
    <row r="270" spans="1:21" x14ac:dyDescent="0.35">
      <c r="A270" t="s">
        <v>447</v>
      </c>
      <c r="B270" t="s">
        <v>78</v>
      </c>
      <c r="C270" t="s">
        <v>79</v>
      </c>
      <c r="D270" t="s">
        <v>55</v>
      </c>
      <c r="E270" t="s">
        <v>70</v>
      </c>
      <c r="F270">
        <v>2744</v>
      </c>
      <c r="G270">
        <v>2551</v>
      </c>
      <c r="H270" s="1">
        <v>46052</v>
      </c>
      <c r="I270" s="1">
        <v>46052</v>
      </c>
      <c r="J270">
        <v>130</v>
      </c>
      <c r="K270">
        <v>51</v>
      </c>
      <c r="L270">
        <f t="shared" si="20"/>
        <v>0</v>
      </c>
      <c r="M270" s="6">
        <f t="shared" si="21"/>
        <v>1</v>
      </c>
      <c r="N270" s="6">
        <f t="shared" si="22"/>
        <v>0.92966472303206993</v>
      </c>
      <c r="O270" s="6">
        <f t="shared" si="23"/>
        <v>0.94903959231673851</v>
      </c>
      <c r="P270">
        <f t="shared" si="24"/>
        <v>130101</v>
      </c>
      <c r="Q270" s="6">
        <f>MIN(Table1[Unit Price])/Table1[[#This Row],[Unit Price]]</f>
        <v>9.8039215686274508E-2</v>
      </c>
      <c r="R270" s="8">
        <f>IF(Table1[[#This Row],[Delivery Delay]]&gt;0,1,0)</f>
        <v>0</v>
      </c>
      <c r="S270" s="6">
        <f>(Table1[[#This Row],[OTD]]*0.4)+(Table1[[#This Row],[Quality Rate]]*0.3)+(Table1[[#This Row],[Fill Rate]]*0.2)+(Table1[[#This Row],[Cost Score]]*0.1)</f>
        <v>0.880448743870063</v>
      </c>
      <c r="T270">
        <f>MAX(Table1[OTD])</f>
        <v>1</v>
      </c>
      <c r="U270" t="str">
        <f>IF(Table1[[#This Row],[Vendor Score]]&gt;=90%,"Excellent",IF(Table1[[#This Row],[Vendor Score]]&gt;=75%,"Moderate","Poor"))</f>
        <v>Moderate</v>
      </c>
    </row>
    <row r="271" spans="1:21" x14ac:dyDescent="0.35">
      <c r="A271" t="s">
        <v>166</v>
      </c>
      <c r="B271" t="s">
        <v>59</v>
      </c>
      <c r="C271" t="s">
        <v>60</v>
      </c>
      <c r="D271" t="s">
        <v>19</v>
      </c>
      <c r="E271" t="s">
        <v>96</v>
      </c>
      <c r="F271">
        <v>4826</v>
      </c>
      <c r="G271">
        <v>4701</v>
      </c>
      <c r="H271" s="1">
        <v>46115</v>
      </c>
      <c r="I271" s="1">
        <v>46115</v>
      </c>
      <c r="J271">
        <v>287</v>
      </c>
      <c r="K271">
        <v>127</v>
      </c>
      <c r="L271">
        <f t="shared" si="20"/>
        <v>0</v>
      </c>
      <c r="M271" s="6">
        <f t="shared" si="21"/>
        <v>1</v>
      </c>
      <c r="N271" s="6">
        <f t="shared" si="22"/>
        <v>0.97409863240779115</v>
      </c>
      <c r="O271" s="6">
        <f t="shared" si="23"/>
        <v>0.938949159753244</v>
      </c>
      <c r="P271">
        <f t="shared" si="24"/>
        <v>597027</v>
      </c>
      <c r="Q271" s="6">
        <f>MIN(Table1[Unit Price])/Table1[[#This Row],[Unit Price]]</f>
        <v>3.937007874015748E-2</v>
      </c>
      <c r="R271" s="8">
        <f>IF(Table1[[#This Row],[Delivery Delay]]&gt;0,1,0)</f>
        <v>0</v>
      </c>
      <c r="S271" s="6">
        <f>(Table1[[#This Row],[OTD]]*0.4)+(Table1[[#This Row],[Quality Rate]]*0.3)+(Table1[[#This Row],[Fill Rate]]*0.2)+(Table1[[#This Row],[Cost Score]]*0.1)</f>
        <v>0.88044148228154717</v>
      </c>
      <c r="T271">
        <f>MAX(Table1[OTD])</f>
        <v>1</v>
      </c>
      <c r="U271" t="str">
        <f>IF(Table1[[#This Row],[Vendor Score]]&gt;=90%,"Excellent",IF(Table1[[#This Row],[Vendor Score]]&gt;=75%,"Moderate","Poor"))</f>
        <v>Moderate</v>
      </c>
    </row>
    <row r="272" spans="1:21" x14ac:dyDescent="0.35">
      <c r="A272" t="s">
        <v>405</v>
      </c>
      <c r="B272" t="s">
        <v>78</v>
      </c>
      <c r="C272" t="s">
        <v>79</v>
      </c>
      <c r="D272" t="s">
        <v>14</v>
      </c>
      <c r="E272" t="s">
        <v>15</v>
      </c>
      <c r="F272">
        <v>2722</v>
      </c>
      <c r="G272">
        <v>2628</v>
      </c>
      <c r="H272" s="1">
        <v>46357</v>
      </c>
      <c r="I272" s="1">
        <v>46355</v>
      </c>
      <c r="J272">
        <v>135</v>
      </c>
      <c r="K272">
        <v>186</v>
      </c>
      <c r="L272">
        <f t="shared" si="20"/>
        <v>-2</v>
      </c>
      <c r="M272" s="6">
        <f t="shared" si="21"/>
        <v>1</v>
      </c>
      <c r="N272" s="6">
        <f t="shared" si="22"/>
        <v>0.96546656869948566</v>
      </c>
      <c r="O272" s="6">
        <f t="shared" si="23"/>
        <v>0.94863013698630139</v>
      </c>
      <c r="P272">
        <f t="shared" si="24"/>
        <v>488808</v>
      </c>
      <c r="Q272" s="6">
        <f>MIN(Table1[Unit Price])/Table1[[#This Row],[Unit Price]]</f>
        <v>2.6881720430107527E-2</v>
      </c>
      <c r="R272" s="8">
        <f>IF(Table1[[#This Row],[Delivery Delay]]&gt;0,1,0)</f>
        <v>0</v>
      </c>
      <c r="S272" s="6">
        <f>(Table1[[#This Row],[OTD]]*0.4)+(Table1[[#This Row],[Quality Rate]]*0.3)+(Table1[[#This Row],[Fill Rate]]*0.2)+(Table1[[#This Row],[Cost Score]]*0.1)</f>
        <v>0.88037052687879824</v>
      </c>
      <c r="T272">
        <f>MAX(Table1[OTD])</f>
        <v>1</v>
      </c>
      <c r="U272" t="str">
        <f>IF(Table1[[#This Row],[Vendor Score]]&gt;=90%,"Excellent",IF(Table1[[#This Row],[Vendor Score]]&gt;=75%,"Moderate","Poor"))</f>
        <v>Moderate</v>
      </c>
    </row>
    <row r="273" spans="1:21" x14ac:dyDescent="0.35">
      <c r="A273" t="s">
        <v>441</v>
      </c>
      <c r="B273" t="s">
        <v>45</v>
      </c>
      <c r="C273" t="s">
        <v>46</v>
      </c>
      <c r="D273" t="s">
        <v>33</v>
      </c>
      <c r="E273" t="s">
        <v>57</v>
      </c>
      <c r="F273">
        <v>4146</v>
      </c>
      <c r="G273">
        <v>4143</v>
      </c>
      <c r="H273" s="1">
        <v>46311</v>
      </c>
      <c r="I273" s="1">
        <v>46310</v>
      </c>
      <c r="J273">
        <v>378</v>
      </c>
      <c r="K273">
        <v>64</v>
      </c>
      <c r="L273">
        <f t="shared" si="20"/>
        <v>-1</v>
      </c>
      <c r="M273" s="6">
        <f t="shared" si="21"/>
        <v>1</v>
      </c>
      <c r="N273" s="6">
        <f t="shared" si="22"/>
        <v>0.9992764109985528</v>
      </c>
      <c r="O273" s="6">
        <f t="shared" si="23"/>
        <v>0.90876176683562637</v>
      </c>
      <c r="P273">
        <f t="shared" si="24"/>
        <v>265152</v>
      </c>
      <c r="Q273" s="6">
        <f>MIN(Table1[Unit Price])/Table1[[#This Row],[Unit Price]]</f>
        <v>7.8125E-2</v>
      </c>
      <c r="R273" s="8">
        <f>IF(Table1[[#This Row],[Delivery Delay]]&gt;0,1,0)</f>
        <v>0</v>
      </c>
      <c r="S273" s="6">
        <f>(Table1[[#This Row],[OTD]]*0.4)+(Table1[[#This Row],[Quality Rate]]*0.3)+(Table1[[#This Row],[Fill Rate]]*0.2)+(Table1[[#This Row],[Cost Score]]*0.1)</f>
        <v>0.8802963122503985</v>
      </c>
      <c r="T273">
        <f>MAX(Table1[OTD])</f>
        <v>1</v>
      </c>
      <c r="U273" t="str">
        <f>IF(Table1[[#This Row],[Vendor Score]]&gt;=90%,"Excellent",IF(Table1[[#This Row],[Vendor Score]]&gt;=75%,"Moderate","Poor"))</f>
        <v>Moderate</v>
      </c>
    </row>
    <row r="274" spans="1:21" x14ac:dyDescent="0.35">
      <c r="A274" t="s">
        <v>264</v>
      </c>
      <c r="B274" t="s">
        <v>59</v>
      </c>
      <c r="C274" t="s">
        <v>60</v>
      </c>
      <c r="D274" t="s">
        <v>33</v>
      </c>
      <c r="E274" t="s">
        <v>28</v>
      </c>
      <c r="F274">
        <v>2700</v>
      </c>
      <c r="G274">
        <v>2587</v>
      </c>
      <c r="H274" s="1">
        <v>46270</v>
      </c>
      <c r="I274" s="1">
        <v>46270</v>
      </c>
      <c r="J274">
        <v>156</v>
      </c>
      <c r="K274">
        <v>74</v>
      </c>
      <c r="L274">
        <f t="shared" si="20"/>
        <v>0</v>
      </c>
      <c r="M274" s="6">
        <f t="shared" si="21"/>
        <v>1</v>
      </c>
      <c r="N274" s="6">
        <f t="shared" si="22"/>
        <v>0.95814814814814819</v>
      </c>
      <c r="O274" s="6">
        <f t="shared" si="23"/>
        <v>0.93969849246231152</v>
      </c>
      <c r="P274">
        <f t="shared" si="24"/>
        <v>191438</v>
      </c>
      <c r="Q274" s="6">
        <f>MIN(Table1[Unit Price])/Table1[[#This Row],[Unit Price]]</f>
        <v>6.7567567567567571E-2</v>
      </c>
      <c r="R274" s="8">
        <f>IF(Table1[[#This Row],[Delivery Delay]]&gt;0,1,0)</f>
        <v>0</v>
      </c>
      <c r="S274" s="6">
        <f>(Table1[[#This Row],[OTD]]*0.4)+(Table1[[#This Row],[Quality Rate]]*0.3)+(Table1[[#This Row],[Fill Rate]]*0.2)+(Table1[[#This Row],[Cost Score]]*0.1)</f>
        <v>0.88029593412507978</v>
      </c>
      <c r="T274">
        <f>MAX(Table1[OTD])</f>
        <v>1</v>
      </c>
      <c r="U274" t="str">
        <f>IF(Table1[[#This Row],[Vendor Score]]&gt;=90%,"Excellent",IF(Table1[[#This Row],[Vendor Score]]&gt;=75%,"Moderate","Poor"))</f>
        <v>Moderate</v>
      </c>
    </row>
    <row r="275" spans="1:21" x14ac:dyDescent="0.35">
      <c r="A275" t="s">
        <v>158</v>
      </c>
      <c r="B275" t="s">
        <v>17</v>
      </c>
      <c r="C275" t="s">
        <v>18</v>
      </c>
      <c r="D275" t="s">
        <v>55</v>
      </c>
      <c r="E275" t="s">
        <v>70</v>
      </c>
      <c r="F275">
        <v>4127</v>
      </c>
      <c r="G275">
        <v>3923</v>
      </c>
      <c r="H275" s="1">
        <v>46025</v>
      </c>
      <c r="I275" s="1">
        <v>46024</v>
      </c>
      <c r="J275">
        <v>159</v>
      </c>
      <c r="K275">
        <v>218</v>
      </c>
      <c r="L275">
        <f t="shared" si="20"/>
        <v>-1</v>
      </c>
      <c r="M275" s="6">
        <f t="shared" si="21"/>
        <v>1</v>
      </c>
      <c r="N275" s="6">
        <f t="shared" si="22"/>
        <v>0.95056942088684271</v>
      </c>
      <c r="O275" s="6">
        <f t="shared" si="23"/>
        <v>0.95946979352536321</v>
      </c>
      <c r="P275">
        <f t="shared" si="24"/>
        <v>855214</v>
      </c>
      <c r="Q275" s="6">
        <f>MIN(Table1[Unit Price])/Table1[[#This Row],[Unit Price]]</f>
        <v>2.2935779816513763E-2</v>
      </c>
      <c r="R275" s="8">
        <f>IF(Table1[[#This Row],[Delivery Delay]]&gt;0,1,0)</f>
        <v>0</v>
      </c>
      <c r="S275" s="6">
        <f>(Table1[[#This Row],[OTD]]*0.4)+(Table1[[#This Row],[Quality Rate]]*0.3)+(Table1[[#This Row],[Fill Rate]]*0.2)+(Table1[[#This Row],[Cost Score]]*0.1)</f>
        <v>0.88024840021662887</v>
      </c>
      <c r="T275">
        <f>MAX(Table1[OTD])</f>
        <v>1</v>
      </c>
      <c r="U275" t="str">
        <f>IF(Table1[[#This Row],[Vendor Score]]&gt;=90%,"Excellent",IF(Table1[[#This Row],[Vendor Score]]&gt;=75%,"Moderate","Poor"))</f>
        <v>Moderate</v>
      </c>
    </row>
    <row r="276" spans="1:21" x14ac:dyDescent="0.35">
      <c r="A276" t="s">
        <v>518</v>
      </c>
      <c r="B276" t="s">
        <v>17</v>
      </c>
      <c r="C276" t="s">
        <v>18</v>
      </c>
      <c r="D276" t="s">
        <v>19</v>
      </c>
      <c r="E276" t="s">
        <v>57</v>
      </c>
      <c r="F276">
        <v>3820</v>
      </c>
      <c r="G276">
        <v>3568</v>
      </c>
      <c r="H276" s="1">
        <v>46303</v>
      </c>
      <c r="I276" s="1">
        <v>46301</v>
      </c>
      <c r="J276">
        <v>148</v>
      </c>
      <c r="K276">
        <v>87</v>
      </c>
      <c r="L276">
        <f t="shared" si="20"/>
        <v>-2</v>
      </c>
      <c r="M276" s="6">
        <f t="shared" si="21"/>
        <v>1</v>
      </c>
      <c r="N276" s="6">
        <f t="shared" si="22"/>
        <v>0.93403141361256548</v>
      </c>
      <c r="O276" s="6">
        <f t="shared" si="23"/>
        <v>0.95852017937219736</v>
      </c>
      <c r="P276">
        <f t="shared" si="24"/>
        <v>310416</v>
      </c>
      <c r="Q276" s="6">
        <f>MIN(Table1[Unit Price])/Table1[[#This Row],[Unit Price]]</f>
        <v>5.7471264367816091E-2</v>
      </c>
      <c r="R276" s="8">
        <f>IF(Table1[[#This Row],[Delivery Delay]]&gt;0,1,0)</f>
        <v>0</v>
      </c>
      <c r="S276" s="6">
        <f>(Table1[[#This Row],[OTD]]*0.4)+(Table1[[#This Row],[Quality Rate]]*0.3)+(Table1[[#This Row],[Fill Rate]]*0.2)+(Table1[[#This Row],[Cost Score]]*0.1)</f>
        <v>0.88010946297095394</v>
      </c>
      <c r="T276">
        <f>MAX(Table1[OTD])</f>
        <v>1</v>
      </c>
      <c r="U276" t="str">
        <f>IF(Table1[[#This Row],[Vendor Score]]&gt;=90%,"Excellent",IF(Table1[[#This Row],[Vendor Score]]&gt;=75%,"Moderate","Poor"))</f>
        <v>Moderate</v>
      </c>
    </row>
    <row r="277" spans="1:21" x14ac:dyDescent="0.35">
      <c r="A277" t="s">
        <v>172</v>
      </c>
      <c r="B277" t="s">
        <v>22</v>
      </c>
      <c r="C277" t="s">
        <v>23</v>
      </c>
      <c r="D277" t="s">
        <v>33</v>
      </c>
      <c r="E277" t="s">
        <v>24</v>
      </c>
      <c r="F277">
        <v>3111</v>
      </c>
      <c r="G277">
        <v>3076</v>
      </c>
      <c r="H277" s="1">
        <v>46153</v>
      </c>
      <c r="I277" s="1">
        <v>46151</v>
      </c>
      <c r="J277">
        <v>218</v>
      </c>
      <c r="K277">
        <v>140</v>
      </c>
      <c r="L277">
        <f t="shared" si="20"/>
        <v>-2</v>
      </c>
      <c r="M277" s="6">
        <f t="shared" si="21"/>
        <v>1</v>
      </c>
      <c r="N277" s="6">
        <f t="shared" si="22"/>
        <v>0.98874959819993569</v>
      </c>
      <c r="O277" s="6">
        <f t="shared" si="23"/>
        <v>0.92912873862158651</v>
      </c>
      <c r="P277">
        <f t="shared" si="24"/>
        <v>430640</v>
      </c>
      <c r="Q277" s="6">
        <f>MIN(Table1[Unit Price])/Table1[[#This Row],[Unit Price]]</f>
        <v>3.5714285714285712E-2</v>
      </c>
      <c r="R277" s="8">
        <f>IF(Table1[[#This Row],[Delivery Delay]]&gt;0,1,0)</f>
        <v>0</v>
      </c>
      <c r="S277" s="6">
        <f>(Table1[[#This Row],[OTD]]*0.4)+(Table1[[#This Row],[Quality Rate]]*0.3)+(Table1[[#This Row],[Fill Rate]]*0.2)+(Table1[[#This Row],[Cost Score]]*0.1)</f>
        <v>0.88005996979789158</v>
      </c>
      <c r="T277">
        <f>MAX(Table1[OTD])</f>
        <v>1</v>
      </c>
      <c r="U277" t="str">
        <f>IF(Table1[[#This Row],[Vendor Score]]&gt;=90%,"Excellent",IF(Table1[[#This Row],[Vendor Score]]&gt;=75%,"Moderate","Poor"))</f>
        <v>Moderate</v>
      </c>
    </row>
    <row r="278" spans="1:21" x14ac:dyDescent="0.35">
      <c r="A278" t="s">
        <v>446</v>
      </c>
      <c r="B278" t="s">
        <v>59</v>
      </c>
      <c r="C278" t="s">
        <v>60</v>
      </c>
      <c r="D278" t="s">
        <v>33</v>
      </c>
      <c r="E278" t="s">
        <v>47</v>
      </c>
      <c r="F278">
        <v>1865</v>
      </c>
      <c r="G278">
        <v>1763</v>
      </c>
      <c r="H278" s="1">
        <v>46333</v>
      </c>
      <c r="I278" s="1">
        <v>46332</v>
      </c>
      <c r="J278">
        <v>111</v>
      </c>
      <c r="K278">
        <v>51</v>
      </c>
      <c r="L278">
        <f t="shared" si="20"/>
        <v>-1</v>
      </c>
      <c r="M278" s="6">
        <f t="shared" si="21"/>
        <v>1</v>
      </c>
      <c r="N278" s="6">
        <f t="shared" si="22"/>
        <v>0.94530831099195711</v>
      </c>
      <c r="O278" s="6">
        <f t="shared" si="23"/>
        <v>0.93703913783323878</v>
      </c>
      <c r="P278">
        <f t="shared" si="24"/>
        <v>89913</v>
      </c>
      <c r="Q278" s="6">
        <f>MIN(Table1[Unit Price])/Table1[[#This Row],[Unit Price]]</f>
        <v>9.8039215686274508E-2</v>
      </c>
      <c r="R278" s="8">
        <f>IF(Table1[[#This Row],[Delivery Delay]]&gt;0,1,0)</f>
        <v>0</v>
      </c>
      <c r="S278" s="6">
        <f>(Table1[[#This Row],[OTD]]*0.4)+(Table1[[#This Row],[Quality Rate]]*0.3)+(Table1[[#This Row],[Fill Rate]]*0.2)+(Table1[[#This Row],[Cost Score]]*0.1)</f>
        <v>0.87997732511699045</v>
      </c>
      <c r="T278">
        <f>MAX(Table1[OTD])</f>
        <v>1</v>
      </c>
      <c r="U278" t="str">
        <f>IF(Table1[[#This Row],[Vendor Score]]&gt;=90%,"Excellent",IF(Table1[[#This Row],[Vendor Score]]&gt;=75%,"Moderate","Poor"))</f>
        <v>Moderate</v>
      </c>
    </row>
    <row r="279" spans="1:21" x14ac:dyDescent="0.35">
      <c r="A279" t="s">
        <v>178</v>
      </c>
      <c r="B279" t="s">
        <v>59</v>
      </c>
      <c r="C279" t="s">
        <v>60</v>
      </c>
      <c r="D279" t="s">
        <v>19</v>
      </c>
      <c r="E279" t="s">
        <v>96</v>
      </c>
      <c r="F279">
        <v>4199</v>
      </c>
      <c r="G279">
        <v>4023</v>
      </c>
      <c r="H279" s="1">
        <v>46132</v>
      </c>
      <c r="I279" s="1">
        <v>46132</v>
      </c>
      <c r="J279">
        <v>246</v>
      </c>
      <c r="K279">
        <v>75</v>
      </c>
      <c r="L279">
        <f t="shared" si="20"/>
        <v>0</v>
      </c>
      <c r="M279" s="6">
        <f t="shared" si="21"/>
        <v>1</v>
      </c>
      <c r="N279" s="6">
        <f t="shared" si="22"/>
        <v>0.95808525839485592</v>
      </c>
      <c r="O279" s="6">
        <f t="shared" si="23"/>
        <v>0.93885160328113348</v>
      </c>
      <c r="P279">
        <f t="shared" si="24"/>
        <v>301725</v>
      </c>
      <c r="Q279" s="6">
        <f>MIN(Table1[Unit Price])/Table1[[#This Row],[Unit Price]]</f>
        <v>6.6666666666666666E-2</v>
      </c>
      <c r="R279" s="8">
        <f>IF(Table1[[#This Row],[Delivery Delay]]&gt;0,1,0)</f>
        <v>0</v>
      </c>
      <c r="S279" s="6">
        <f>(Table1[[#This Row],[OTD]]*0.4)+(Table1[[#This Row],[Quality Rate]]*0.3)+(Table1[[#This Row],[Fill Rate]]*0.2)+(Table1[[#This Row],[Cost Score]]*0.1)</f>
        <v>0.87993919932997799</v>
      </c>
      <c r="T279">
        <f>MAX(Table1[OTD])</f>
        <v>1</v>
      </c>
      <c r="U279" t="str">
        <f>IF(Table1[[#This Row],[Vendor Score]]&gt;=90%,"Excellent",IF(Table1[[#This Row],[Vendor Score]]&gt;=75%,"Moderate","Poor"))</f>
        <v>Moderate</v>
      </c>
    </row>
    <row r="280" spans="1:21" x14ac:dyDescent="0.35">
      <c r="A280" t="s">
        <v>321</v>
      </c>
      <c r="B280" t="s">
        <v>17</v>
      </c>
      <c r="C280" t="s">
        <v>18</v>
      </c>
      <c r="D280" t="s">
        <v>55</v>
      </c>
      <c r="E280" t="s">
        <v>20</v>
      </c>
      <c r="F280">
        <v>4796</v>
      </c>
      <c r="G280">
        <v>4532</v>
      </c>
      <c r="H280" s="1">
        <v>46219</v>
      </c>
      <c r="I280" s="1">
        <v>46217</v>
      </c>
      <c r="J280">
        <v>186</v>
      </c>
      <c r="K280">
        <v>154</v>
      </c>
      <c r="L280">
        <f t="shared" si="20"/>
        <v>-2</v>
      </c>
      <c r="M280" s="6">
        <f t="shared" si="21"/>
        <v>1</v>
      </c>
      <c r="N280" s="6">
        <f t="shared" si="22"/>
        <v>0.94495412844036697</v>
      </c>
      <c r="O280" s="6">
        <f t="shared" si="23"/>
        <v>0.95895851721094438</v>
      </c>
      <c r="P280">
        <f t="shared" si="24"/>
        <v>697928</v>
      </c>
      <c r="Q280" s="6">
        <f>MIN(Table1[Unit Price])/Table1[[#This Row],[Unit Price]]</f>
        <v>3.2467532467532464E-2</v>
      </c>
      <c r="R280" s="8">
        <f>IF(Table1[[#This Row],[Delivery Delay]]&gt;0,1,0)</f>
        <v>0</v>
      </c>
      <c r="S280" s="6">
        <f>(Table1[[#This Row],[OTD]]*0.4)+(Table1[[#This Row],[Quality Rate]]*0.3)+(Table1[[#This Row],[Fill Rate]]*0.2)+(Table1[[#This Row],[Cost Score]]*0.1)</f>
        <v>0.87992513409811002</v>
      </c>
      <c r="T280">
        <f>MAX(Table1[OTD])</f>
        <v>1</v>
      </c>
      <c r="U280" t="str">
        <f>IF(Table1[[#This Row],[Vendor Score]]&gt;=90%,"Excellent",IF(Table1[[#This Row],[Vendor Score]]&gt;=75%,"Moderate","Poor"))</f>
        <v>Moderate</v>
      </c>
    </row>
    <row r="281" spans="1:21" x14ac:dyDescent="0.35">
      <c r="A281" t="s">
        <v>181</v>
      </c>
      <c r="B281" t="s">
        <v>59</v>
      </c>
      <c r="C281" t="s">
        <v>60</v>
      </c>
      <c r="D281" t="s">
        <v>55</v>
      </c>
      <c r="E281" t="s">
        <v>70</v>
      </c>
      <c r="F281">
        <v>3133</v>
      </c>
      <c r="G281">
        <v>3061</v>
      </c>
      <c r="H281" s="1">
        <v>46031</v>
      </c>
      <c r="I281" s="1">
        <v>46029</v>
      </c>
      <c r="J281">
        <v>189</v>
      </c>
      <c r="K281">
        <v>165</v>
      </c>
      <c r="L281">
        <f t="shared" si="20"/>
        <v>-2</v>
      </c>
      <c r="M281" s="6">
        <f t="shared" si="21"/>
        <v>1</v>
      </c>
      <c r="N281" s="6">
        <f t="shared" si="22"/>
        <v>0.97701883179061599</v>
      </c>
      <c r="O281" s="6">
        <f t="shared" si="23"/>
        <v>0.93825547206795168</v>
      </c>
      <c r="P281">
        <f t="shared" si="24"/>
        <v>505065</v>
      </c>
      <c r="Q281" s="6">
        <f>MIN(Table1[Unit Price])/Table1[[#This Row],[Unit Price]]</f>
        <v>3.0303030303030304E-2</v>
      </c>
      <c r="R281" s="8">
        <f>IF(Table1[[#This Row],[Delivery Delay]]&gt;0,1,0)</f>
        <v>0</v>
      </c>
      <c r="S281" s="6">
        <f>(Table1[[#This Row],[OTD]]*0.4)+(Table1[[#This Row],[Quality Rate]]*0.3)+(Table1[[#This Row],[Fill Rate]]*0.2)+(Table1[[#This Row],[Cost Score]]*0.1)</f>
        <v>0.87991071100881169</v>
      </c>
      <c r="T281">
        <f>MAX(Table1[OTD])</f>
        <v>1</v>
      </c>
      <c r="U281" t="str">
        <f>IF(Table1[[#This Row],[Vendor Score]]&gt;=90%,"Excellent",IF(Table1[[#This Row],[Vendor Score]]&gt;=75%,"Moderate","Poor"))</f>
        <v>Moderate</v>
      </c>
    </row>
    <row r="282" spans="1:21" x14ac:dyDescent="0.35">
      <c r="A282" t="s">
        <v>353</v>
      </c>
      <c r="B282" t="s">
        <v>59</v>
      </c>
      <c r="C282" t="s">
        <v>60</v>
      </c>
      <c r="D282" t="s">
        <v>19</v>
      </c>
      <c r="E282" t="s">
        <v>34</v>
      </c>
      <c r="F282">
        <v>4822</v>
      </c>
      <c r="G282">
        <v>4719</v>
      </c>
      <c r="H282" s="1">
        <v>46187</v>
      </c>
      <c r="I282" s="1">
        <v>46186</v>
      </c>
      <c r="J282">
        <v>285</v>
      </c>
      <c r="K282">
        <v>224</v>
      </c>
      <c r="L282">
        <f t="shared" si="20"/>
        <v>-1</v>
      </c>
      <c r="M282" s="6">
        <f t="shared" si="21"/>
        <v>1</v>
      </c>
      <c r="N282" s="6">
        <f t="shared" si="22"/>
        <v>0.97863956864371626</v>
      </c>
      <c r="O282" s="6">
        <f t="shared" si="23"/>
        <v>0.93960584869675778</v>
      </c>
      <c r="P282">
        <f t="shared" si="24"/>
        <v>1057056</v>
      </c>
      <c r="Q282" s="6">
        <f>MIN(Table1[Unit Price])/Table1[[#This Row],[Unit Price]]</f>
        <v>2.2321428571428572E-2</v>
      </c>
      <c r="R282" s="8">
        <f>IF(Table1[[#This Row],[Delivery Delay]]&gt;0,1,0)</f>
        <v>0</v>
      </c>
      <c r="S282" s="6">
        <f>(Table1[[#This Row],[OTD]]*0.4)+(Table1[[#This Row],[Quality Rate]]*0.3)+(Table1[[#This Row],[Fill Rate]]*0.2)+(Table1[[#This Row],[Cost Score]]*0.1)</f>
        <v>0.87984181119491345</v>
      </c>
      <c r="T282">
        <f>MAX(Table1[OTD])</f>
        <v>1</v>
      </c>
      <c r="U282" t="str">
        <f>IF(Table1[[#This Row],[Vendor Score]]&gt;=90%,"Excellent",IF(Table1[[#This Row],[Vendor Score]]&gt;=75%,"Moderate","Poor"))</f>
        <v>Moderate</v>
      </c>
    </row>
    <row r="283" spans="1:21" x14ac:dyDescent="0.35">
      <c r="A283" t="s">
        <v>224</v>
      </c>
      <c r="B283" t="s">
        <v>17</v>
      </c>
      <c r="C283" t="s">
        <v>18</v>
      </c>
      <c r="D283" t="s">
        <v>19</v>
      </c>
      <c r="E283" t="s">
        <v>34</v>
      </c>
      <c r="F283">
        <v>998</v>
      </c>
      <c r="G283">
        <v>952</v>
      </c>
      <c r="H283" s="1">
        <v>46194</v>
      </c>
      <c r="I283" s="1">
        <v>46193</v>
      </c>
      <c r="J283">
        <v>44</v>
      </c>
      <c r="K283">
        <v>172</v>
      </c>
      <c r="L283">
        <f t="shared" si="20"/>
        <v>-1</v>
      </c>
      <c r="M283" s="6">
        <f t="shared" si="21"/>
        <v>1</v>
      </c>
      <c r="N283" s="6">
        <f t="shared" si="22"/>
        <v>0.95390781563126248</v>
      </c>
      <c r="O283" s="6">
        <f t="shared" si="23"/>
        <v>0.95378151260504207</v>
      </c>
      <c r="P283">
        <f t="shared" si="24"/>
        <v>163744</v>
      </c>
      <c r="Q283" s="6">
        <f>MIN(Table1[Unit Price])/Table1[[#This Row],[Unit Price]]</f>
        <v>2.9069767441860465E-2</v>
      </c>
      <c r="R283" s="8">
        <f>IF(Table1[[#This Row],[Delivery Delay]]&gt;0,1,0)</f>
        <v>0</v>
      </c>
      <c r="S283" s="6">
        <f>(Table1[[#This Row],[OTD]]*0.4)+(Table1[[#This Row],[Quality Rate]]*0.3)+(Table1[[#This Row],[Fill Rate]]*0.2)+(Table1[[#This Row],[Cost Score]]*0.1)</f>
        <v>0.87982299365195116</v>
      </c>
      <c r="T283">
        <f>MAX(Table1[OTD])</f>
        <v>1</v>
      </c>
      <c r="U283" t="str">
        <f>IF(Table1[[#This Row],[Vendor Score]]&gt;=90%,"Excellent",IF(Table1[[#This Row],[Vendor Score]]&gt;=75%,"Moderate","Poor"))</f>
        <v>Moderate</v>
      </c>
    </row>
    <row r="284" spans="1:21" x14ac:dyDescent="0.35">
      <c r="A284" t="s">
        <v>460</v>
      </c>
      <c r="B284" t="s">
        <v>78</v>
      </c>
      <c r="C284" t="s">
        <v>79</v>
      </c>
      <c r="D284" t="s">
        <v>55</v>
      </c>
      <c r="E284" t="s">
        <v>15</v>
      </c>
      <c r="F284">
        <v>4359</v>
      </c>
      <c r="G284">
        <v>4189</v>
      </c>
      <c r="H284" s="1">
        <v>46367</v>
      </c>
      <c r="I284" s="1">
        <v>46367</v>
      </c>
      <c r="J284">
        <v>210</v>
      </c>
      <c r="K284">
        <v>190</v>
      </c>
      <c r="L284">
        <f t="shared" si="20"/>
        <v>0</v>
      </c>
      <c r="M284" s="6">
        <f t="shared" si="21"/>
        <v>1</v>
      </c>
      <c r="N284" s="6">
        <f t="shared" si="22"/>
        <v>0.96100022941041519</v>
      </c>
      <c r="O284" s="6">
        <f t="shared" si="23"/>
        <v>0.94986870374791121</v>
      </c>
      <c r="P284">
        <f t="shared" si="24"/>
        <v>795910</v>
      </c>
      <c r="Q284" s="6">
        <f>MIN(Table1[Unit Price])/Table1[[#This Row],[Unit Price]]</f>
        <v>2.6315789473684209E-2</v>
      </c>
      <c r="R284" s="8">
        <f>IF(Table1[[#This Row],[Delivery Delay]]&gt;0,1,0)</f>
        <v>0</v>
      </c>
      <c r="S284" s="6">
        <f>(Table1[[#This Row],[OTD]]*0.4)+(Table1[[#This Row],[Quality Rate]]*0.3)+(Table1[[#This Row],[Fill Rate]]*0.2)+(Table1[[#This Row],[Cost Score]]*0.1)</f>
        <v>0.87979223595382483</v>
      </c>
      <c r="T284">
        <f>MAX(Table1[OTD])</f>
        <v>1</v>
      </c>
      <c r="U284" t="str">
        <f>IF(Table1[[#This Row],[Vendor Score]]&gt;=90%,"Excellent",IF(Table1[[#This Row],[Vendor Score]]&gt;=75%,"Moderate","Poor"))</f>
        <v>Moderate</v>
      </c>
    </row>
    <row r="285" spans="1:21" x14ac:dyDescent="0.35">
      <c r="A285" t="s">
        <v>514</v>
      </c>
      <c r="B285" t="s">
        <v>22</v>
      </c>
      <c r="C285" t="s">
        <v>23</v>
      </c>
      <c r="D285" t="s">
        <v>55</v>
      </c>
      <c r="E285" t="s">
        <v>47</v>
      </c>
      <c r="F285">
        <v>366</v>
      </c>
      <c r="G285">
        <v>353</v>
      </c>
      <c r="H285" s="1">
        <v>46351</v>
      </c>
      <c r="I285" s="1">
        <v>46349</v>
      </c>
      <c r="J285">
        <v>27</v>
      </c>
      <c r="K285">
        <v>51</v>
      </c>
      <c r="L285">
        <f t="shared" si="20"/>
        <v>-2</v>
      </c>
      <c r="M285" s="6">
        <f t="shared" si="21"/>
        <v>1</v>
      </c>
      <c r="N285" s="6">
        <f t="shared" si="22"/>
        <v>0.96448087431693985</v>
      </c>
      <c r="O285" s="6">
        <f t="shared" si="23"/>
        <v>0.92351274787535409</v>
      </c>
      <c r="P285">
        <f t="shared" si="24"/>
        <v>18003</v>
      </c>
      <c r="Q285" s="6">
        <f>MIN(Table1[Unit Price])/Table1[[#This Row],[Unit Price]]</f>
        <v>9.8039215686274508E-2</v>
      </c>
      <c r="R285" s="8">
        <f>IF(Table1[[#This Row],[Delivery Delay]]&gt;0,1,0)</f>
        <v>0</v>
      </c>
      <c r="S285" s="6">
        <f>(Table1[[#This Row],[OTD]]*0.4)+(Table1[[#This Row],[Quality Rate]]*0.3)+(Table1[[#This Row],[Fill Rate]]*0.2)+(Table1[[#This Row],[Cost Score]]*0.1)</f>
        <v>0.87975392079462167</v>
      </c>
      <c r="T285">
        <f>MAX(Table1[OTD])</f>
        <v>1</v>
      </c>
      <c r="U285" t="str">
        <f>IF(Table1[[#This Row],[Vendor Score]]&gt;=90%,"Excellent",IF(Table1[[#This Row],[Vendor Score]]&gt;=75%,"Moderate","Poor"))</f>
        <v>Moderate</v>
      </c>
    </row>
    <row r="286" spans="1:21" x14ac:dyDescent="0.35">
      <c r="A286" t="s">
        <v>134</v>
      </c>
      <c r="B286" t="s">
        <v>59</v>
      </c>
      <c r="C286" t="s">
        <v>60</v>
      </c>
      <c r="D286" t="s">
        <v>19</v>
      </c>
      <c r="E286" t="s">
        <v>40</v>
      </c>
      <c r="F286">
        <v>4975</v>
      </c>
      <c r="G286">
        <v>4850</v>
      </c>
      <c r="H286" s="1">
        <v>46265</v>
      </c>
      <c r="I286" s="1">
        <v>46265</v>
      </c>
      <c r="J286">
        <v>294</v>
      </c>
      <c r="K286">
        <v>173</v>
      </c>
      <c r="L286">
        <f t="shared" si="20"/>
        <v>0</v>
      </c>
      <c r="M286" s="6">
        <f t="shared" si="21"/>
        <v>1</v>
      </c>
      <c r="N286" s="6">
        <f t="shared" si="22"/>
        <v>0.97487437185929648</v>
      </c>
      <c r="O286" s="6">
        <f t="shared" si="23"/>
        <v>0.93938144329896911</v>
      </c>
      <c r="P286">
        <f t="shared" si="24"/>
        <v>839050</v>
      </c>
      <c r="Q286" s="6">
        <f>MIN(Table1[Unit Price])/Table1[[#This Row],[Unit Price]]</f>
        <v>2.8901734104046242E-2</v>
      </c>
      <c r="R286" s="8">
        <f>IF(Table1[[#This Row],[Delivery Delay]]&gt;0,1,0)</f>
        <v>0</v>
      </c>
      <c r="S286" s="6">
        <f>(Table1[[#This Row],[OTD]]*0.4)+(Table1[[#This Row],[Quality Rate]]*0.3)+(Table1[[#This Row],[Fill Rate]]*0.2)+(Table1[[#This Row],[Cost Score]]*0.1)</f>
        <v>0.87967948077195468</v>
      </c>
      <c r="T286">
        <f>MAX(Table1[OTD])</f>
        <v>1</v>
      </c>
      <c r="U286" t="str">
        <f>IF(Table1[[#This Row],[Vendor Score]]&gt;=90%,"Excellent",IF(Table1[[#This Row],[Vendor Score]]&gt;=75%,"Moderate","Poor"))</f>
        <v>Moderate</v>
      </c>
    </row>
    <row r="287" spans="1:21" x14ac:dyDescent="0.35">
      <c r="A287" t="s">
        <v>274</v>
      </c>
      <c r="B287" t="s">
        <v>30</v>
      </c>
      <c r="C287" t="s">
        <v>31</v>
      </c>
      <c r="D287" t="s">
        <v>55</v>
      </c>
      <c r="E287" t="s">
        <v>40</v>
      </c>
      <c r="F287">
        <v>984</v>
      </c>
      <c r="G287">
        <v>915</v>
      </c>
      <c r="H287" s="1">
        <v>46253</v>
      </c>
      <c r="I287" s="1">
        <v>46251</v>
      </c>
      <c r="J287">
        <v>31</v>
      </c>
      <c r="K287">
        <v>130</v>
      </c>
      <c r="L287">
        <f t="shared" si="20"/>
        <v>-2</v>
      </c>
      <c r="M287" s="6">
        <f t="shared" si="21"/>
        <v>1</v>
      </c>
      <c r="N287" s="6">
        <f t="shared" si="22"/>
        <v>0.92987804878048785</v>
      </c>
      <c r="O287" s="6">
        <f t="shared" si="23"/>
        <v>0.96612021857923502</v>
      </c>
      <c r="P287">
        <f t="shared" si="24"/>
        <v>118950</v>
      </c>
      <c r="Q287" s="6">
        <f>MIN(Table1[Unit Price])/Table1[[#This Row],[Unit Price]]</f>
        <v>3.8461538461538464E-2</v>
      </c>
      <c r="R287" s="8">
        <f>IF(Table1[[#This Row],[Delivery Delay]]&gt;0,1,0)</f>
        <v>0</v>
      </c>
      <c r="S287" s="6">
        <f>(Table1[[#This Row],[OTD]]*0.4)+(Table1[[#This Row],[Quality Rate]]*0.3)+(Table1[[#This Row],[Fill Rate]]*0.2)+(Table1[[#This Row],[Cost Score]]*0.1)</f>
        <v>0.87965782917602198</v>
      </c>
      <c r="T287">
        <f>MAX(Table1[OTD])</f>
        <v>1</v>
      </c>
      <c r="U287" t="str">
        <f>IF(Table1[[#This Row],[Vendor Score]]&gt;=90%,"Excellent",IF(Table1[[#This Row],[Vendor Score]]&gt;=75%,"Moderate","Poor"))</f>
        <v>Moderate</v>
      </c>
    </row>
    <row r="288" spans="1:21" x14ac:dyDescent="0.35">
      <c r="A288" t="s">
        <v>200</v>
      </c>
      <c r="B288" t="s">
        <v>59</v>
      </c>
      <c r="C288" t="s">
        <v>60</v>
      </c>
      <c r="D288" t="s">
        <v>55</v>
      </c>
      <c r="E288" t="s">
        <v>20</v>
      </c>
      <c r="F288">
        <v>2568</v>
      </c>
      <c r="G288">
        <v>2484</v>
      </c>
      <c r="H288" s="1">
        <v>46223</v>
      </c>
      <c r="I288" s="1">
        <v>46223</v>
      </c>
      <c r="J288">
        <v>155</v>
      </c>
      <c r="K288">
        <v>105</v>
      </c>
      <c r="L288">
        <f t="shared" si="20"/>
        <v>0</v>
      </c>
      <c r="M288" s="6">
        <f t="shared" si="21"/>
        <v>1</v>
      </c>
      <c r="N288" s="6">
        <f t="shared" si="22"/>
        <v>0.96728971962616828</v>
      </c>
      <c r="O288" s="6">
        <f t="shared" si="23"/>
        <v>0.9376006441223832</v>
      </c>
      <c r="P288">
        <f t="shared" si="24"/>
        <v>260820</v>
      </c>
      <c r="Q288" s="6">
        <f>MIN(Table1[Unit Price])/Table1[[#This Row],[Unit Price]]</f>
        <v>4.7619047619047616E-2</v>
      </c>
      <c r="R288" s="8">
        <f>IF(Table1[[#This Row],[Delivery Delay]]&gt;0,1,0)</f>
        <v>0</v>
      </c>
      <c r="S288" s="6">
        <f>(Table1[[#This Row],[OTD]]*0.4)+(Table1[[#This Row],[Quality Rate]]*0.3)+(Table1[[#This Row],[Fill Rate]]*0.2)+(Table1[[#This Row],[Cost Score]]*0.1)</f>
        <v>0.87950004192385334</v>
      </c>
      <c r="T288">
        <f>MAX(Table1[OTD])</f>
        <v>1</v>
      </c>
      <c r="U288" t="str">
        <f>IF(Table1[[#This Row],[Vendor Score]]&gt;=90%,"Excellent",IF(Table1[[#This Row],[Vendor Score]]&gt;=75%,"Moderate","Poor"))</f>
        <v>Moderate</v>
      </c>
    </row>
    <row r="289" spans="1:21" x14ac:dyDescent="0.35">
      <c r="A289" t="s">
        <v>120</v>
      </c>
      <c r="B289" t="s">
        <v>30</v>
      </c>
      <c r="C289" t="s">
        <v>31</v>
      </c>
      <c r="D289" t="s">
        <v>55</v>
      </c>
      <c r="E289" t="s">
        <v>24</v>
      </c>
      <c r="F289">
        <v>3069</v>
      </c>
      <c r="G289">
        <v>2849</v>
      </c>
      <c r="H289" s="1">
        <v>46144</v>
      </c>
      <c r="I289" s="1">
        <v>46142</v>
      </c>
      <c r="J289">
        <v>86</v>
      </c>
      <c r="K289">
        <v>173</v>
      </c>
      <c r="L289">
        <f t="shared" si="20"/>
        <v>-2</v>
      </c>
      <c r="M289" s="6">
        <f t="shared" si="21"/>
        <v>1</v>
      </c>
      <c r="N289" s="6">
        <f t="shared" si="22"/>
        <v>0.92831541218637992</v>
      </c>
      <c r="O289" s="6">
        <f t="shared" si="23"/>
        <v>0.96981396981396983</v>
      </c>
      <c r="P289">
        <f t="shared" si="24"/>
        <v>492877</v>
      </c>
      <c r="Q289" s="6">
        <f>MIN(Table1[Unit Price])/Table1[[#This Row],[Unit Price]]</f>
        <v>2.8901734104046242E-2</v>
      </c>
      <c r="R289" s="8">
        <f>IF(Table1[[#This Row],[Delivery Delay]]&gt;0,1,0)</f>
        <v>0</v>
      </c>
      <c r="S289" s="6">
        <f>(Table1[[#This Row],[OTD]]*0.4)+(Table1[[#This Row],[Quality Rate]]*0.3)+(Table1[[#This Row],[Fill Rate]]*0.2)+(Table1[[#This Row],[Cost Score]]*0.1)</f>
        <v>0.87949744679187158</v>
      </c>
      <c r="T289">
        <f>MAX(Table1[OTD])</f>
        <v>1</v>
      </c>
      <c r="U289" t="str">
        <f>IF(Table1[[#This Row],[Vendor Score]]&gt;=90%,"Excellent",IF(Table1[[#This Row],[Vendor Score]]&gt;=75%,"Moderate","Poor"))</f>
        <v>Moderate</v>
      </c>
    </row>
    <row r="290" spans="1:21" x14ac:dyDescent="0.35">
      <c r="A290" t="s">
        <v>444</v>
      </c>
      <c r="B290" t="s">
        <v>59</v>
      </c>
      <c r="C290" t="s">
        <v>60</v>
      </c>
      <c r="D290" t="s">
        <v>33</v>
      </c>
      <c r="E290" t="s">
        <v>70</v>
      </c>
      <c r="F290">
        <v>2875</v>
      </c>
      <c r="G290">
        <v>2657</v>
      </c>
      <c r="H290" s="1">
        <v>46046</v>
      </c>
      <c r="I290" s="1">
        <v>46045</v>
      </c>
      <c r="J290">
        <v>161</v>
      </c>
      <c r="K290">
        <v>39</v>
      </c>
      <c r="L290">
        <f t="shared" si="20"/>
        <v>-1</v>
      </c>
      <c r="M290" s="6">
        <f t="shared" si="21"/>
        <v>1</v>
      </c>
      <c r="N290" s="6">
        <f t="shared" si="22"/>
        <v>0.92417391304347829</v>
      </c>
      <c r="O290" s="6">
        <f t="shared" si="23"/>
        <v>0.93940534437335343</v>
      </c>
      <c r="P290">
        <f t="shared" si="24"/>
        <v>103623</v>
      </c>
      <c r="Q290" s="6">
        <f>MIN(Table1[Unit Price])/Table1[[#This Row],[Unit Price]]</f>
        <v>0.12820512820512819</v>
      </c>
      <c r="R290" s="8">
        <f>IF(Table1[[#This Row],[Delivery Delay]]&gt;0,1,0)</f>
        <v>0</v>
      </c>
      <c r="S290" s="6">
        <f>(Table1[[#This Row],[OTD]]*0.4)+(Table1[[#This Row],[Quality Rate]]*0.3)+(Table1[[#This Row],[Fill Rate]]*0.2)+(Table1[[#This Row],[Cost Score]]*0.1)</f>
        <v>0.87947689874121449</v>
      </c>
      <c r="T290">
        <f>MAX(Table1[OTD])</f>
        <v>1</v>
      </c>
      <c r="U290" t="str">
        <f>IF(Table1[[#This Row],[Vendor Score]]&gt;=90%,"Excellent",IF(Table1[[#This Row],[Vendor Score]]&gt;=75%,"Moderate","Poor"))</f>
        <v>Moderate</v>
      </c>
    </row>
    <row r="291" spans="1:21" x14ac:dyDescent="0.35">
      <c r="A291" t="s">
        <v>407</v>
      </c>
      <c r="B291" t="s">
        <v>17</v>
      </c>
      <c r="C291" t="s">
        <v>18</v>
      </c>
      <c r="D291" t="s">
        <v>14</v>
      </c>
      <c r="E291" t="s">
        <v>96</v>
      </c>
      <c r="F291">
        <v>1434</v>
      </c>
      <c r="G291">
        <v>1354</v>
      </c>
      <c r="H291" s="1">
        <v>46119</v>
      </c>
      <c r="I291" s="1">
        <v>46118</v>
      </c>
      <c r="J291">
        <v>58</v>
      </c>
      <c r="K291">
        <v>149</v>
      </c>
      <c r="L291">
        <f t="shared" si="20"/>
        <v>-1</v>
      </c>
      <c r="M291" s="6">
        <f t="shared" si="21"/>
        <v>1</v>
      </c>
      <c r="N291" s="6">
        <f t="shared" si="22"/>
        <v>0.94421199442119941</v>
      </c>
      <c r="O291" s="6">
        <f t="shared" si="23"/>
        <v>0.95716395864106352</v>
      </c>
      <c r="P291">
        <f t="shared" si="24"/>
        <v>201746</v>
      </c>
      <c r="Q291" s="6">
        <f>MIN(Table1[Unit Price])/Table1[[#This Row],[Unit Price]]</f>
        <v>3.3557046979865772E-2</v>
      </c>
      <c r="R291" s="8">
        <f>IF(Table1[[#This Row],[Delivery Delay]]&gt;0,1,0)</f>
        <v>0</v>
      </c>
      <c r="S291" s="6">
        <f>(Table1[[#This Row],[OTD]]*0.4)+(Table1[[#This Row],[Quality Rate]]*0.3)+(Table1[[#This Row],[Fill Rate]]*0.2)+(Table1[[#This Row],[Cost Score]]*0.1)</f>
        <v>0.87934729117454558</v>
      </c>
      <c r="T291">
        <f>MAX(Table1[OTD])</f>
        <v>1</v>
      </c>
      <c r="U291" t="str">
        <f>IF(Table1[[#This Row],[Vendor Score]]&gt;=90%,"Excellent",IF(Table1[[#This Row],[Vendor Score]]&gt;=75%,"Moderate","Poor"))</f>
        <v>Moderate</v>
      </c>
    </row>
    <row r="292" spans="1:21" x14ac:dyDescent="0.35">
      <c r="A292" t="s">
        <v>99</v>
      </c>
      <c r="B292" t="s">
        <v>22</v>
      </c>
      <c r="C292" t="s">
        <v>23</v>
      </c>
      <c r="D292" t="s">
        <v>19</v>
      </c>
      <c r="E292" t="s">
        <v>24</v>
      </c>
      <c r="F292">
        <v>2553</v>
      </c>
      <c r="G292">
        <v>2504</v>
      </c>
      <c r="H292" s="1">
        <v>46164</v>
      </c>
      <c r="I292" s="1">
        <v>46163</v>
      </c>
      <c r="J292">
        <v>180</v>
      </c>
      <c r="K292">
        <v>110</v>
      </c>
      <c r="L292">
        <f t="shared" si="20"/>
        <v>-1</v>
      </c>
      <c r="M292" s="6">
        <f t="shared" si="21"/>
        <v>1</v>
      </c>
      <c r="N292" s="6">
        <f t="shared" si="22"/>
        <v>0.98080689385037212</v>
      </c>
      <c r="O292" s="6">
        <f t="shared" si="23"/>
        <v>0.9281150159744409</v>
      </c>
      <c r="P292">
        <f t="shared" si="24"/>
        <v>275440</v>
      </c>
      <c r="Q292" s="6">
        <f>MIN(Table1[Unit Price])/Table1[[#This Row],[Unit Price]]</f>
        <v>4.5454545454545456E-2</v>
      </c>
      <c r="R292" s="8">
        <f>IF(Table1[[#This Row],[Delivery Delay]]&gt;0,1,0)</f>
        <v>0</v>
      </c>
      <c r="S292" s="6">
        <f>(Table1[[#This Row],[OTD]]*0.4)+(Table1[[#This Row],[Quality Rate]]*0.3)+(Table1[[#This Row],[Fill Rate]]*0.2)+(Table1[[#This Row],[Cost Score]]*0.1)</f>
        <v>0.87914133810786133</v>
      </c>
      <c r="T292">
        <f>MAX(Table1[OTD])</f>
        <v>1</v>
      </c>
      <c r="U292" t="str">
        <f>IF(Table1[[#This Row],[Vendor Score]]&gt;=90%,"Excellent",IF(Table1[[#This Row],[Vendor Score]]&gt;=75%,"Moderate","Poor"))</f>
        <v>Moderate</v>
      </c>
    </row>
    <row r="293" spans="1:21" x14ac:dyDescent="0.35">
      <c r="A293" t="s">
        <v>253</v>
      </c>
      <c r="B293" t="s">
        <v>30</v>
      </c>
      <c r="C293" t="s">
        <v>31</v>
      </c>
      <c r="D293" t="s">
        <v>55</v>
      </c>
      <c r="E293" t="s">
        <v>34</v>
      </c>
      <c r="F293">
        <v>4020</v>
      </c>
      <c r="G293">
        <v>3718</v>
      </c>
      <c r="H293" s="1">
        <v>46185</v>
      </c>
      <c r="I293" s="1">
        <v>46183</v>
      </c>
      <c r="J293">
        <v>116</v>
      </c>
      <c r="K293">
        <v>144</v>
      </c>
      <c r="L293">
        <f t="shared" si="20"/>
        <v>-2</v>
      </c>
      <c r="M293" s="6">
        <f t="shared" si="21"/>
        <v>1</v>
      </c>
      <c r="N293" s="6">
        <f t="shared" si="22"/>
        <v>0.92487562189054728</v>
      </c>
      <c r="O293" s="6">
        <f t="shared" si="23"/>
        <v>0.96880043033889185</v>
      </c>
      <c r="P293">
        <f t="shared" si="24"/>
        <v>535392</v>
      </c>
      <c r="Q293" s="6">
        <f>MIN(Table1[Unit Price])/Table1[[#This Row],[Unit Price]]</f>
        <v>3.4722222222222224E-2</v>
      </c>
      <c r="R293" s="8">
        <f>IF(Table1[[#This Row],[Delivery Delay]]&gt;0,1,0)</f>
        <v>0</v>
      </c>
      <c r="S293" s="6">
        <f>(Table1[[#This Row],[OTD]]*0.4)+(Table1[[#This Row],[Quality Rate]]*0.3)+(Table1[[#This Row],[Fill Rate]]*0.2)+(Table1[[#This Row],[Cost Score]]*0.1)</f>
        <v>0.87908747570199919</v>
      </c>
      <c r="T293">
        <f>MAX(Table1[OTD])</f>
        <v>1</v>
      </c>
      <c r="U293" t="str">
        <f>IF(Table1[[#This Row],[Vendor Score]]&gt;=90%,"Excellent",IF(Table1[[#This Row],[Vendor Score]]&gt;=75%,"Moderate","Poor"))</f>
        <v>Moderate</v>
      </c>
    </row>
    <row r="294" spans="1:21" x14ac:dyDescent="0.35">
      <c r="A294" t="s">
        <v>424</v>
      </c>
      <c r="B294" t="s">
        <v>22</v>
      </c>
      <c r="C294" t="s">
        <v>23</v>
      </c>
      <c r="D294" t="s">
        <v>55</v>
      </c>
      <c r="E294" t="s">
        <v>28</v>
      </c>
      <c r="F294">
        <v>3240</v>
      </c>
      <c r="G294">
        <v>3175</v>
      </c>
      <c r="H294" s="1">
        <v>46269</v>
      </c>
      <c r="I294" s="1">
        <v>46267</v>
      </c>
      <c r="J294">
        <v>225</v>
      </c>
      <c r="K294">
        <v>116</v>
      </c>
      <c r="L294">
        <f t="shared" si="20"/>
        <v>-2</v>
      </c>
      <c r="M294" s="6">
        <f t="shared" si="21"/>
        <v>1</v>
      </c>
      <c r="N294" s="6">
        <f t="shared" si="22"/>
        <v>0.97993827160493829</v>
      </c>
      <c r="O294" s="6">
        <f t="shared" si="23"/>
        <v>0.92913385826771655</v>
      </c>
      <c r="P294">
        <f t="shared" si="24"/>
        <v>368300</v>
      </c>
      <c r="Q294" s="6">
        <f>MIN(Table1[Unit Price])/Table1[[#This Row],[Unit Price]]</f>
        <v>4.3103448275862072E-2</v>
      </c>
      <c r="R294" s="8">
        <f>IF(Table1[[#This Row],[Delivery Delay]]&gt;0,1,0)</f>
        <v>0</v>
      </c>
      <c r="S294" s="6">
        <f>(Table1[[#This Row],[OTD]]*0.4)+(Table1[[#This Row],[Quality Rate]]*0.3)+(Table1[[#This Row],[Fill Rate]]*0.2)+(Table1[[#This Row],[Cost Score]]*0.1)</f>
        <v>0.87903815662888873</v>
      </c>
      <c r="T294">
        <f>MAX(Table1[OTD])</f>
        <v>1</v>
      </c>
      <c r="U294" t="str">
        <f>IF(Table1[[#This Row],[Vendor Score]]&gt;=90%,"Excellent",IF(Table1[[#This Row],[Vendor Score]]&gt;=75%,"Moderate","Poor"))</f>
        <v>Moderate</v>
      </c>
    </row>
    <row r="295" spans="1:21" x14ac:dyDescent="0.35">
      <c r="A295" t="s">
        <v>526</v>
      </c>
      <c r="B295" t="s">
        <v>17</v>
      </c>
      <c r="C295" t="s">
        <v>18</v>
      </c>
      <c r="D295" t="s">
        <v>19</v>
      </c>
      <c r="E295" t="s">
        <v>15</v>
      </c>
      <c r="F295">
        <v>2276</v>
      </c>
      <c r="G295">
        <v>2125</v>
      </c>
      <c r="H295" s="1">
        <v>46373</v>
      </c>
      <c r="I295" s="1">
        <v>46373</v>
      </c>
      <c r="J295">
        <v>85</v>
      </c>
      <c r="K295">
        <v>117</v>
      </c>
      <c r="L295">
        <f t="shared" si="20"/>
        <v>0</v>
      </c>
      <c r="M295" s="6">
        <f t="shared" si="21"/>
        <v>1</v>
      </c>
      <c r="N295" s="6">
        <f t="shared" si="22"/>
        <v>0.93365553602811946</v>
      </c>
      <c r="O295" s="6">
        <f t="shared" si="23"/>
        <v>0.96</v>
      </c>
      <c r="P295">
        <f t="shared" si="24"/>
        <v>248625</v>
      </c>
      <c r="Q295" s="6">
        <f>MIN(Table1[Unit Price])/Table1[[#This Row],[Unit Price]]</f>
        <v>4.2735042735042736E-2</v>
      </c>
      <c r="R295" s="8">
        <f>IF(Table1[[#This Row],[Delivery Delay]]&gt;0,1,0)</f>
        <v>0</v>
      </c>
      <c r="S295" s="6">
        <f>(Table1[[#This Row],[OTD]]*0.4)+(Table1[[#This Row],[Quality Rate]]*0.3)+(Table1[[#This Row],[Fill Rate]]*0.2)+(Table1[[#This Row],[Cost Score]]*0.1)</f>
        <v>0.87900461147912812</v>
      </c>
      <c r="T295">
        <f>MAX(Table1[OTD])</f>
        <v>1</v>
      </c>
      <c r="U295" t="str">
        <f>IF(Table1[[#This Row],[Vendor Score]]&gt;=90%,"Excellent",IF(Table1[[#This Row],[Vendor Score]]&gt;=75%,"Moderate","Poor"))</f>
        <v>Moderate</v>
      </c>
    </row>
    <row r="296" spans="1:21" x14ac:dyDescent="0.35">
      <c r="A296" t="s">
        <v>217</v>
      </c>
      <c r="B296" t="s">
        <v>78</v>
      </c>
      <c r="C296" t="s">
        <v>79</v>
      </c>
      <c r="D296" t="s">
        <v>33</v>
      </c>
      <c r="E296" t="s">
        <v>34</v>
      </c>
      <c r="F296">
        <v>3138</v>
      </c>
      <c r="G296">
        <v>3015</v>
      </c>
      <c r="H296" s="1">
        <v>46192</v>
      </c>
      <c r="I296" s="1">
        <v>46190</v>
      </c>
      <c r="J296">
        <v>155</v>
      </c>
      <c r="K296">
        <v>232</v>
      </c>
      <c r="L296">
        <f t="shared" si="20"/>
        <v>-2</v>
      </c>
      <c r="M296" s="6">
        <f t="shared" si="21"/>
        <v>1</v>
      </c>
      <c r="N296" s="6">
        <f t="shared" si="22"/>
        <v>0.96080305927342258</v>
      </c>
      <c r="O296" s="6">
        <f t="shared" si="23"/>
        <v>0.94859038142620233</v>
      </c>
      <c r="P296">
        <f t="shared" si="24"/>
        <v>699480</v>
      </c>
      <c r="Q296" s="6">
        <f>MIN(Table1[Unit Price])/Table1[[#This Row],[Unit Price]]</f>
        <v>2.1551724137931036E-2</v>
      </c>
      <c r="R296" s="8">
        <f>IF(Table1[[#This Row],[Delivery Delay]]&gt;0,1,0)</f>
        <v>0</v>
      </c>
      <c r="S296" s="6">
        <f>(Table1[[#This Row],[OTD]]*0.4)+(Table1[[#This Row],[Quality Rate]]*0.3)+(Table1[[#This Row],[Fill Rate]]*0.2)+(Table1[[#This Row],[Cost Score]]*0.1)</f>
        <v>0.87889289869633846</v>
      </c>
      <c r="T296">
        <f>MAX(Table1[OTD])</f>
        <v>1</v>
      </c>
      <c r="U296" t="str">
        <f>IF(Table1[[#This Row],[Vendor Score]]&gt;=90%,"Excellent",IF(Table1[[#This Row],[Vendor Score]]&gt;=75%,"Moderate","Poor"))</f>
        <v>Moderate</v>
      </c>
    </row>
    <row r="297" spans="1:21" x14ac:dyDescent="0.35">
      <c r="A297" t="s">
        <v>197</v>
      </c>
      <c r="B297" t="s">
        <v>17</v>
      </c>
      <c r="C297" t="s">
        <v>18</v>
      </c>
      <c r="D297" t="s">
        <v>19</v>
      </c>
      <c r="E297" t="s">
        <v>34</v>
      </c>
      <c r="F297">
        <v>362</v>
      </c>
      <c r="G297">
        <v>346</v>
      </c>
      <c r="H297" s="1">
        <v>46194</v>
      </c>
      <c r="I297" s="1">
        <v>46194</v>
      </c>
      <c r="J297">
        <v>18</v>
      </c>
      <c r="K297">
        <v>151</v>
      </c>
      <c r="L297">
        <f t="shared" si="20"/>
        <v>0</v>
      </c>
      <c r="M297" s="6">
        <f t="shared" si="21"/>
        <v>1</v>
      </c>
      <c r="N297" s="6">
        <f t="shared" si="22"/>
        <v>0.95580110497237569</v>
      </c>
      <c r="O297" s="6">
        <f t="shared" si="23"/>
        <v>0.94797687861271673</v>
      </c>
      <c r="P297">
        <f t="shared" si="24"/>
        <v>52246</v>
      </c>
      <c r="Q297" s="6">
        <f>MIN(Table1[Unit Price])/Table1[[#This Row],[Unit Price]]</f>
        <v>3.3112582781456956E-2</v>
      </c>
      <c r="R297" s="8">
        <f>IF(Table1[[#This Row],[Delivery Delay]]&gt;0,1,0)</f>
        <v>0</v>
      </c>
      <c r="S297" s="6">
        <f>(Table1[[#This Row],[OTD]]*0.4)+(Table1[[#This Row],[Quality Rate]]*0.3)+(Table1[[#This Row],[Fill Rate]]*0.2)+(Table1[[#This Row],[Cost Score]]*0.1)</f>
        <v>0.87886454285643589</v>
      </c>
      <c r="T297">
        <f>MAX(Table1[OTD])</f>
        <v>1</v>
      </c>
      <c r="U297" t="str">
        <f>IF(Table1[[#This Row],[Vendor Score]]&gt;=90%,"Excellent",IF(Table1[[#This Row],[Vendor Score]]&gt;=75%,"Moderate","Poor"))</f>
        <v>Moderate</v>
      </c>
    </row>
    <row r="298" spans="1:21" x14ac:dyDescent="0.35">
      <c r="A298" t="s">
        <v>470</v>
      </c>
      <c r="B298" t="s">
        <v>59</v>
      </c>
      <c r="C298" t="s">
        <v>60</v>
      </c>
      <c r="D298" t="s">
        <v>33</v>
      </c>
      <c r="E298" t="s">
        <v>24</v>
      </c>
      <c r="F298">
        <v>2809</v>
      </c>
      <c r="G298">
        <v>2684</v>
      </c>
      <c r="H298" s="1">
        <v>46158</v>
      </c>
      <c r="I298" s="1">
        <v>46157</v>
      </c>
      <c r="J298">
        <v>166</v>
      </c>
      <c r="K298">
        <v>80</v>
      </c>
      <c r="L298">
        <f t="shared" si="20"/>
        <v>-1</v>
      </c>
      <c r="M298" s="6">
        <f t="shared" si="21"/>
        <v>1</v>
      </c>
      <c r="N298" s="6">
        <f t="shared" si="22"/>
        <v>0.95550017799928799</v>
      </c>
      <c r="O298" s="6">
        <f t="shared" si="23"/>
        <v>0.93815201192250375</v>
      </c>
      <c r="P298">
        <f t="shared" si="24"/>
        <v>214720</v>
      </c>
      <c r="Q298" s="6">
        <f>MIN(Table1[Unit Price])/Table1[[#This Row],[Unit Price]]</f>
        <v>6.25E-2</v>
      </c>
      <c r="R298" s="8">
        <f>IF(Table1[[#This Row],[Delivery Delay]]&gt;0,1,0)</f>
        <v>0</v>
      </c>
      <c r="S298" s="6">
        <f>(Table1[[#This Row],[OTD]]*0.4)+(Table1[[#This Row],[Quality Rate]]*0.3)+(Table1[[#This Row],[Fill Rate]]*0.2)+(Table1[[#This Row],[Cost Score]]*0.1)</f>
        <v>0.87879563917660863</v>
      </c>
      <c r="T298">
        <f>MAX(Table1[OTD])</f>
        <v>1</v>
      </c>
      <c r="U298" t="str">
        <f>IF(Table1[[#This Row],[Vendor Score]]&gt;=90%,"Excellent",IF(Table1[[#This Row],[Vendor Score]]&gt;=75%,"Moderate","Poor"))</f>
        <v>Moderate</v>
      </c>
    </row>
    <row r="299" spans="1:21" x14ac:dyDescent="0.35">
      <c r="A299" t="s">
        <v>21</v>
      </c>
      <c r="B299" t="s">
        <v>22</v>
      </c>
      <c r="C299" t="s">
        <v>23</v>
      </c>
      <c r="D299" t="s">
        <v>19</v>
      </c>
      <c r="E299" t="s">
        <v>24</v>
      </c>
      <c r="F299">
        <v>4165</v>
      </c>
      <c r="G299">
        <v>4115</v>
      </c>
      <c r="H299" s="1">
        <v>46158</v>
      </c>
      <c r="I299" s="1">
        <v>46158</v>
      </c>
      <c r="J299">
        <v>293</v>
      </c>
      <c r="K299">
        <v>202</v>
      </c>
      <c r="L299">
        <f t="shared" si="20"/>
        <v>0</v>
      </c>
      <c r="M299" s="6">
        <f t="shared" si="21"/>
        <v>1</v>
      </c>
      <c r="N299" s="6">
        <f t="shared" si="22"/>
        <v>0.98799519807923164</v>
      </c>
      <c r="O299" s="6">
        <f t="shared" si="23"/>
        <v>0.92879708383961113</v>
      </c>
      <c r="P299">
        <f t="shared" si="24"/>
        <v>831230</v>
      </c>
      <c r="Q299" s="6">
        <f>MIN(Table1[Unit Price])/Table1[[#This Row],[Unit Price]]</f>
        <v>2.4752475247524754E-2</v>
      </c>
      <c r="R299" s="8">
        <f>IF(Table1[[#This Row],[Delivery Delay]]&gt;0,1,0)</f>
        <v>0</v>
      </c>
      <c r="S299" s="6">
        <f>(Table1[[#This Row],[OTD]]*0.4)+(Table1[[#This Row],[Quality Rate]]*0.3)+(Table1[[#This Row],[Fill Rate]]*0.2)+(Table1[[#This Row],[Cost Score]]*0.1)</f>
        <v>0.87871341229248212</v>
      </c>
      <c r="T299">
        <f>MAX(Table1[OTD])</f>
        <v>1</v>
      </c>
      <c r="U299" t="str">
        <f>IF(Table1[[#This Row],[Vendor Score]]&gt;=90%,"Excellent",IF(Table1[[#This Row],[Vendor Score]]&gt;=75%,"Moderate","Poor"))</f>
        <v>Moderate</v>
      </c>
    </row>
    <row r="300" spans="1:21" x14ac:dyDescent="0.35">
      <c r="A300" t="s">
        <v>77</v>
      </c>
      <c r="B300" t="s">
        <v>78</v>
      </c>
      <c r="C300" t="s">
        <v>79</v>
      </c>
      <c r="D300" t="s">
        <v>33</v>
      </c>
      <c r="E300" t="s">
        <v>34</v>
      </c>
      <c r="F300">
        <v>1189</v>
      </c>
      <c r="G300">
        <v>1133</v>
      </c>
      <c r="H300" s="1">
        <v>46188</v>
      </c>
      <c r="I300" s="1">
        <v>46187</v>
      </c>
      <c r="J300">
        <v>59</v>
      </c>
      <c r="K300">
        <v>135</v>
      </c>
      <c r="L300">
        <f t="shared" si="20"/>
        <v>-1</v>
      </c>
      <c r="M300" s="6">
        <f t="shared" si="21"/>
        <v>1</v>
      </c>
      <c r="N300" s="6">
        <f t="shared" si="22"/>
        <v>0.95290159798149709</v>
      </c>
      <c r="O300" s="6">
        <f t="shared" si="23"/>
        <v>0.94792586054721972</v>
      </c>
      <c r="P300">
        <f t="shared" si="24"/>
        <v>152955</v>
      </c>
      <c r="Q300" s="6">
        <f>MIN(Table1[Unit Price])/Table1[[#This Row],[Unit Price]]</f>
        <v>3.7037037037037035E-2</v>
      </c>
      <c r="R300" s="8">
        <f>IF(Table1[[#This Row],[Delivery Delay]]&gt;0,1,0)</f>
        <v>0</v>
      </c>
      <c r="S300" s="6">
        <f>(Table1[[#This Row],[OTD]]*0.4)+(Table1[[#This Row],[Quality Rate]]*0.3)+(Table1[[#This Row],[Fill Rate]]*0.2)+(Table1[[#This Row],[Cost Score]]*0.1)</f>
        <v>0.87866178146416896</v>
      </c>
      <c r="T300">
        <f>MAX(Table1[OTD])</f>
        <v>1</v>
      </c>
      <c r="U300" t="str">
        <f>IF(Table1[[#This Row],[Vendor Score]]&gt;=90%,"Excellent",IF(Table1[[#This Row],[Vendor Score]]&gt;=75%,"Moderate","Poor"))</f>
        <v>Moderate</v>
      </c>
    </row>
    <row r="301" spans="1:21" x14ac:dyDescent="0.35">
      <c r="A301" t="s">
        <v>189</v>
      </c>
      <c r="B301" t="s">
        <v>59</v>
      </c>
      <c r="C301" t="s">
        <v>60</v>
      </c>
      <c r="D301" t="s">
        <v>33</v>
      </c>
      <c r="E301" t="s">
        <v>40</v>
      </c>
      <c r="F301">
        <v>235</v>
      </c>
      <c r="G301">
        <v>221</v>
      </c>
      <c r="H301" s="1">
        <v>46253</v>
      </c>
      <c r="I301" s="1">
        <v>46251</v>
      </c>
      <c r="J301">
        <v>15</v>
      </c>
      <c r="K301">
        <v>46</v>
      </c>
      <c r="L301">
        <f t="shared" si="20"/>
        <v>-2</v>
      </c>
      <c r="M301" s="6">
        <f t="shared" si="21"/>
        <v>1</v>
      </c>
      <c r="N301" s="6">
        <f t="shared" si="22"/>
        <v>0.94042553191489364</v>
      </c>
      <c r="O301" s="6">
        <f t="shared" si="23"/>
        <v>0.9321266968325792</v>
      </c>
      <c r="P301">
        <f t="shared" si="24"/>
        <v>10166</v>
      </c>
      <c r="Q301" s="6">
        <f>MIN(Table1[Unit Price])/Table1[[#This Row],[Unit Price]]</f>
        <v>0.10869565217391304</v>
      </c>
      <c r="R301" s="8">
        <f>IF(Table1[[#This Row],[Delivery Delay]]&gt;0,1,0)</f>
        <v>0</v>
      </c>
      <c r="S301" s="6">
        <f>(Table1[[#This Row],[OTD]]*0.4)+(Table1[[#This Row],[Quality Rate]]*0.3)+(Table1[[#This Row],[Fill Rate]]*0.2)+(Table1[[#This Row],[Cost Score]]*0.1)</f>
        <v>0.87859268065014384</v>
      </c>
      <c r="T301">
        <f>MAX(Table1[OTD])</f>
        <v>1</v>
      </c>
      <c r="U301" t="str">
        <f>IF(Table1[[#This Row],[Vendor Score]]&gt;=90%,"Excellent",IF(Table1[[#This Row],[Vendor Score]]&gt;=75%,"Moderate","Poor"))</f>
        <v>Moderate</v>
      </c>
    </row>
    <row r="302" spans="1:21" x14ac:dyDescent="0.35">
      <c r="A302" t="s">
        <v>124</v>
      </c>
      <c r="B302" t="s">
        <v>59</v>
      </c>
      <c r="C302" t="s">
        <v>60</v>
      </c>
      <c r="D302" t="s">
        <v>55</v>
      </c>
      <c r="E302" t="s">
        <v>34</v>
      </c>
      <c r="F302">
        <v>3657</v>
      </c>
      <c r="G302">
        <v>3402</v>
      </c>
      <c r="H302" s="1">
        <v>46176</v>
      </c>
      <c r="I302" s="1">
        <v>46176</v>
      </c>
      <c r="J302">
        <v>209</v>
      </c>
      <c r="K302">
        <v>46</v>
      </c>
      <c r="L302">
        <f t="shared" si="20"/>
        <v>0</v>
      </c>
      <c r="M302" s="6">
        <f t="shared" si="21"/>
        <v>1</v>
      </c>
      <c r="N302" s="6">
        <f t="shared" si="22"/>
        <v>0.93027071369975389</v>
      </c>
      <c r="O302" s="6">
        <f t="shared" si="23"/>
        <v>0.93856554967666084</v>
      </c>
      <c r="P302">
        <f t="shared" si="24"/>
        <v>156492</v>
      </c>
      <c r="Q302" s="6">
        <f>MIN(Table1[Unit Price])/Table1[[#This Row],[Unit Price]]</f>
        <v>0.10869565217391304</v>
      </c>
      <c r="R302" s="8">
        <f>IF(Table1[[#This Row],[Delivery Delay]]&gt;0,1,0)</f>
        <v>0</v>
      </c>
      <c r="S302" s="6">
        <f>(Table1[[#This Row],[OTD]]*0.4)+(Table1[[#This Row],[Quality Rate]]*0.3)+(Table1[[#This Row],[Fill Rate]]*0.2)+(Table1[[#This Row],[Cost Score]]*0.1)</f>
        <v>0.87849337286034046</v>
      </c>
      <c r="T302">
        <f>MAX(Table1[OTD])</f>
        <v>1</v>
      </c>
      <c r="U302" t="str">
        <f>IF(Table1[[#This Row],[Vendor Score]]&gt;=90%,"Excellent",IF(Table1[[#This Row],[Vendor Score]]&gt;=75%,"Moderate","Poor"))</f>
        <v>Moderate</v>
      </c>
    </row>
    <row r="303" spans="1:21" x14ac:dyDescent="0.35">
      <c r="A303" t="s">
        <v>53</v>
      </c>
      <c r="B303" t="s">
        <v>30</v>
      </c>
      <c r="C303" t="s">
        <v>31</v>
      </c>
      <c r="D303" t="s">
        <v>33</v>
      </c>
      <c r="E303" t="s">
        <v>47</v>
      </c>
      <c r="F303">
        <v>1724</v>
      </c>
      <c r="G303">
        <v>1589</v>
      </c>
      <c r="H303" s="1">
        <v>46334</v>
      </c>
      <c r="I303" s="1">
        <v>46332</v>
      </c>
      <c r="J303">
        <v>50</v>
      </c>
      <c r="K303">
        <v>148</v>
      </c>
      <c r="L303">
        <f t="shared" si="20"/>
        <v>-2</v>
      </c>
      <c r="M303" s="6">
        <f t="shared" si="21"/>
        <v>1</v>
      </c>
      <c r="N303" s="6">
        <f t="shared" si="22"/>
        <v>0.92169373549883993</v>
      </c>
      <c r="O303" s="6">
        <f t="shared" si="23"/>
        <v>0.96853366897419757</v>
      </c>
      <c r="P303">
        <f t="shared" si="24"/>
        <v>235172</v>
      </c>
      <c r="Q303" s="6">
        <f>MIN(Table1[Unit Price])/Table1[[#This Row],[Unit Price]]</f>
        <v>3.3783783783783786E-2</v>
      </c>
      <c r="R303" s="8">
        <f>IF(Table1[[#This Row],[Delivery Delay]]&gt;0,1,0)</f>
        <v>0</v>
      </c>
      <c r="S303" s="6">
        <f>(Table1[[#This Row],[OTD]]*0.4)+(Table1[[#This Row],[Quality Rate]]*0.3)+(Table1[[#This Row],[Fill Rate]]*0.2)+(Table1[[#This Row],[Cost Score]]*0.1)</f>
        <v>0.8782772261704056</v>
      </c>
      <c r="T303">
        <f>MAX(Table1[OTD])</f>
        <v>1</v>
      </c>
      <c r="U303" t="str">
        <f>IF(Table1[[#This Row],[Vendor Score]]&gt;=90%,"Excellent",IF(Table1[[#This Row],[Vendor Score]]&gt;=75%,"Moderate","Poor"))</f>
        <v>Moderate</v>
      </c>
    </row>
    <row r="304" spans="1:21" x14ac:dyDescent="0.35">
      <c r="A304" t="s">
        <v>86</v>
      </c>
      <c r="B304" t="s">
        <v>59</v>
      </c>
      <c r="C304" t="s">
        <v>60</v>
      </c>
      <c r="D304" t="s">
        <v>14</v>
      </c>
      <c r="E304" t="s">
        <v>15</v>
      </c>
      <c r="F304">
        <v>429</v>
      </c>
      <c r="G304">
        <v>416</v>
      </c>
      <c r="H304" s="1">
        <v>46376</v>
      </c>
      <c r="I304" s="1">
        <v>46374</v>
      </c>
      <c r="J304">
        <v>26</v>
      </c>
      <c r="K304">
        <v>162</v>
      </c>
      <c r="L304">
        <f t="shared" si="20"/>
        <v>-2</v>
      </c>
      <c r="M304" s="6">
        <f t="shared" si="21"/>
        <v>1</v>
      </c>
      <c r="N304" s="6">
        <f t="shared" si="22"/>
        <v>0.96969696969696972</v>
      </c>
      <c r="O304" s="6">
        <f t="shared" si="23"/>
        <v>0.9375</v>
      </c>
      <c r="P304">
        <f t="shared" si="24"/>
        <v>67392</v>
      </c>
      <c r="Q304" s="6">
        <f>MIN(Table1[Unit Price])/Table1[[#This Row],[Unit Price]]</f>
        <v>3.0864197530864196E-2</v>
      </c>
      <c r="R304" s="8">
        <f>IF(Table1[[#This Row],[Delivery Delay]]&gt;0,1,0)</f>
        <v>0</v>
      </c>
      <c r="S304" s="6">
        <f>(Table1[[#This Row],[OTD]]*0.4)+(Table1[[#This Row],[Quality Rate]]*0.3)+(Table1[[#This Row],[Fill Rate]]*0.2)+(Table1[[#This Row],[Cost Score]]*0.1)</f>
        <v>0.87827581369248042</v>
      </c>
      <c r="T304">
        <f>MAX(Table1[OTD])</f>
        <v>1</v>
      </c>
      <c r="U304" t="str">
        <f>IF(Table1[[#This Row],[Vendor Score]]&gt;=90%,"Excellent",IF(Table1[[#This Row],[Vendor Score]]&gt;=75%,"Moderate","Poor"))</f>
        <v>Moderate</v>
      </c>
    </row>
    <row r="305" spans="1:21" x14ac:dyDescent="0.35">
      <c r="A305" t="s">
        <v>69</v>
      </c>
      <c r="B305" t="s">
        <v>17</v>
      </c>
      <c r="C305" t="s">
        <v>18</v>
      </c>
      <c r="D305" t="s">
        <v>33</v>
      </c>
      <c r="E305" t="s">
        <v>70</v>
      </c>
      <c r="F305">
        <v>799</v>
      </c>
      <c r="G305">
        <v>752</v>
      </c>
      <c r="H305" s="1">
        <v>46036</v>
      </c>
      <c r="I305" s="1">
        <v>46035</v>
      </c>
      <c r="J305">
        <v>34</v>
      </c>
      <c r="K305">
        <v>140</v>
      </c>
      <c r="L305">
        <f t="shared" si="20"/>
        <v>-1</v>
      </c>
      <c r="M305" s="6">
        <f t="shared" si="21"/>
        <v>1</v>
      </c>
      <c r="N305" s="6">
        <f t="shared" si="22"/>
        <v>0.94117647058823528</v>
      </c>
      <c r="O305" s="6">
        <f t="shared" si="23"/>
        <v>0.95478723404255317</v>
      </c>
      <c r="P305">
        <f t="shared" si="24"/>
        <v>105280</v>
      </c>
      <c r="Q305" s="6">
        <f>MIN(Table1[Unit Price])/Table1[[#This Row],[Unit Price]]</f>
        <v>3.5714285714285712E-2</v>
      </c>
      <c r="R305" s="8">
        <f>IF(Table1[[#This Row],[Delivery Delay]]&gt;0,1,0)</f>
        <v>0</v>
      </c>
      <c r="S305" s="6">
        <f>(Table1[[#This Row],[OTD]]*0.4)+(Table1[[#This Row],[Quality Rate]]*0.3)+(Table1[[#This Row],[Fill Rate]]*0.2)+(Table1[[#This Row],[Cost Score]]*0.1)</f>
        <v>0.87824289290184154</v>
      </c>
      <c r="T305">
        <f>MAX(Table1[OTD])</f>
        <v>1</v>
      </c>
      <c r="U305" t="str">
        <f>IF(Table1[[#This Row],[Vendor Score]]&gt;=90%,"Excellent",IF(Table1[[#This Row],[Vendor Score]]&gt;=75%,"Moderate","Poor"))</f>
        <v>Moderate</v>
      </c>
    </row>
    <row r="306" spans="1:21" x14ac:dyDescent="0.35">
      <c r="A306" t="s">
        <v>294</v>
      </c>
      <c r="B306" t="s">
        <v>22</v>
      </c>
      <c r="C306" t="s">
        <v>23</v>
      </c>
      <c r="D306" t="s">
        <v>33</v>
      </c>
      <c r="E306" t="s">
        <v>15</v>
      </c>
      <c r="F306">
        <v>2328</v>
      </c>
      <c r="G306">
        <v>2287</v>
      </c>
      <c r="H306" s="1">
        <v>46364</v>
      </c>
      <c r="I306" s="1">
        <v>46362</v>
      </c>
      <c r="J306">
        <v>161</v>
      </c>
      <c r="K306">
        <v>175</v>
      </c>
      <c r="L306">
        <f t="shared" si="20"/>
        <v>-2</v>
      </c>
      <c r="M306" s="6">
        <f t="shared" si="21"/>
        <v>1</v>
      </c>
      <c r="N306" s="6">
        <f t="shared" si="22"/>
        <v>0.9823883161512027</v>
      </c>
      <c r="O306" s="6">
        <f t="shared" si="23"/>
        <v>0.92960209881941402</v>
      </c>
      <c r="P306">
        <f t="shared" si="24"/>
        <v>400225</v>
      </c>
      <c r="Q306" s="6">
        <f>MIN(Table1[Unit Price])/Table1[[#This Row],[Unit Price]]</f>
        <v>2.8571428571428571E-2</v>
      </c>
      <c r="R306" s="8">
        <f>IF(Table1[[#This Row],[Delivery Delay]]&gt;0,1,0)</f>
        <v>0</v>
      </c>
      <c r="S306" s="6">
        <f>(Table1[[#This Row],[OTD]]*0.4)+(Table1[[#This Row],[Quality Rate]]*0.3)+(Table1[[#This Row],[Fill Rate]]*0.2)+(Table1[[#This Row],[Cost Score]]*0.1)</f>
        <v>0.87821543573320771</v>
      </c>
      <c r="T306">
        <f>MAX(Table1[OTD])</f>
        <v>1</v>
      </c>
      <c r="U306" t="str">
        <f>IF(Table1[[#This Row],[Vendor Score]]&gt;=90%,"Excellent",IF(Table1[[#This Row],[Vendor Score]]&gt;=75%,"Moderate","Poor"))</f>
        <v>Moderate</v>
      </c>
    </row>
    <row r="307" spans="1:21" x14ac:dyDescent="0.35">
      <c r="A307" t="s">
        <v>476</v>
      </c>
      <c r="B307" t="s">
        <v>22</v>
      </c>
      <c r="C307" t="s">
        <v>23</v>
      </c>
      <c r="D307" t="s">
        <v>19</v>
      </c>
      <c r="E307" t="s">
        <v>52</v>
      </c>
      <c r="F307">
        <v>2803</v>
      </c>
      <c r="G307">
        <v>2763</v>
      </c>
      <c r="H307" s="1">
        <v>46091</v>
      </c>
      <c r="I307" s="1">
        <v>46090</v>
      </c>
      <c r="J307">
        <v>195</v>
      </c>
      <c r="K307">
        <v>229</v>
      </c>
      <c r="L307">
        <f t="shared" si="20"/>
        <v>-1</v>
      </c>
      <c r="M307" s="6">
        <f t="shared" si="21"/>
        <v>1</v>
      </c>
      <c r="N307" s="6">
        <f t="shared" si="22"/>
        <v>0.98572957545486983</v>
      </c>
      <c r="O307" s="6">
        <f t="shared" si="23"/>
        <v>0.92942453854505969</v>
      </c>
      <c r="P307">
        <f t="shared" si="24"/>
        <v>632727</v>
      </c>
      <c r="Q307" s="6">
        <f>MIN(Table1[Unit Price])/Table1[[#This Row],[Unit Price]]</f>
        <v>2.1834061135371178E-2</v>
      </c>
      <c r="R307" s="8">
        <f>IF(Table1[[#This Row],[Delivery Delay]]&gt;0,1,0)</f>
        <v>0</v>
      </c>
      <c r="S307" s="6">
        <f>(Table1[[#This Row],[OTD]]*0.4)+(Table1[[#This Row],[Quality Rate]]*0.3)+(Table1[[#This Row],[Fill Rate]]*0.2)+(Table1[[#This Row],[Cost Score]]*0.1)</f>
        <v>0.87815668276802894</v>
      </c>
      <c r="T307">
        <f>MAX(Table1[OTD])</f>
        <v>1</v>
      </c>
      <c r="U307" t="str">
        <f>IF(Table1[[#This Row],[Vendor Score]]&gt;=90%,"Excellent",IF(Table1[[#This Row],[Vendor Score]]&gt;=75%,"Moderate","Poor"))</f>
        <v>Moderate</v>
      </c>
    </row>
    <row r="308" spans="1:21" x14ac:dyDescent="0.35">
      <c r="A308" t="s">
        <v>265</v>
      </c>
      <c r="B308" t="s">
        <v>45</v>
      </c>
      <c r="C308" t="s">
        <v>46</v>
      </c>
      <c r="D308" t="s">
        <v>14</v>
      </c>
      <c r="E308" t="s">
        <v>15</v>
      </c>
      <c r="F308">
        <v>2386</v>
      </c>
      <c r="G308">
        <v>2380</v>
      </c>
      <c r="H308" s="1">
        <v>46357</v>
      </c>
      <c r="I308" s="1">
        <v>46357</v>
      </c>
      <c r="J308">
        <v>218</v>
      </c>
      <c r="K308">
        <v>82</v>
      </c>
      <c r="L308">
        <f t="shared" si="20"/>
        <v>0</v>
      </c>
      <c r="M308" s="6">
        <f t="shared" si="21"/>
        <v>1</v>
      </c>
      <c r="N308" s="6">
        <f t="shared" si="22"/>
        <v>0.99748533109807214</v>
      </c>
      <c r="O308" s="6">
        <f t="shared" si="23"/>
        <v>0.90840336134453781</v>
      </c>
      <c r="P308">
        <f t="shared" si="24"/>
        <v>195160</v>
      </c>
      <c r="Q308" s="6">
        <f>MIN(Table1[Unit Price])/Table1[[#This Row],[Unit Price]]</f>
        <v>6.097560975609756E-2</v>
      </c>
      <c r="R308" s="8">
        <f>IF(Table1[[#This Row],[Delivery Delay]]&gt;0,1,0)</f>
        <v>0</v>
      </c>
      <c r="S308" s="6">
        <f>(Table1[[#This Row],[OTD]]*0.4)+(Table1[[#This Row],[Quality Rate]]*0.3)+(Table1[[#This Row],[Fill Rate]]*0.2)+(Table1[[#This Row],[Cost Score]]*0.1)</f>
        <v>0.87811563559858552</v>
      </c>
      <c r="T308">
        <f>MAX(Table1[OTD])</f>
        <v>1</v>
      </c>
      <c r="U308" t="str">
        <f>IF(Table1[[#This Row],[Vendor Score]]&gt;=90%,"Excellent",IF(Table1[[#This Row],[Vendor Score]]&gt;=75%,"Moderate","Poor"))</f>
        <v>Moderate</v>
      </c>
    </row>
    <row r="309" spans="1:21" x14ac:dyDescent="0.35">
      <c r="A309" t="s">
        <v>247</v>
      </c>
      <c r="B309" t="s">
        <v>78</v>
      </c>
      <c r="C309" t="s">
        <v>79</v>
      </c>
      <c r="D309" t="s">
        <v>19</v>
      </c>
      <c r="E309" t="s">
        <v>96</v>
      </c>
      <c r="F309">
        <v>1840</v>
      </c>
      <c r="G309">
        <v>1744</v>
      </c>
      <c r="H309" s="1">
        <v>46113</v>
      </c>
      <c r="I309" s="1">
        <v>46111</v>
      </c>
      <c r="J309">
        <v>92</v>
      </c>
      <c r="K309">
        <v>116</v>
      </c>
      <c r="L309">
        <f t="shared" si="20"/>
        <v>-2</v>
      </c>
      <c r="M309" s="6">
        <f t="shared" si="21"/>
        <v>1</v>
      </c>
      <c r="N309" s="6">
        <f t="shared" si="22"/>
        <v>0.94782608695652171</v>
      </c>
      <c r="O309" s="6">
        <f t="shared" si="23"/>
        <v>0.94724770642201839</v>
      </c>
      <c r="P309">
        <f t="shared" si="24"/>
        <v>202304</v>
      </c>
      <c r="Q309" s="6">
        <f>MIN(Table1[Unit Price])/Table1[[#This Row],[Unit Price]]</f>
        <v>4.3103448275862072E-2</v>
      </c>
      <c r="R309" s="8">
        <f>IF(Table1[[#This Row],[Delivery Delay]]&gt;0,1,0)</f>
        <v>0</v>
      </c>
      <c r="S309" s="6">
        <f>(Table1[[#This Row],[OTD]]*0.4)+(Table1[[#This Row],[Quality Rate]]*0.3)+(Table1[[#This Row],[Fill Rate]]*0.2)+(Table1[[#This Row],[Cost Score]]*0.1)</f>
        <v>0.87804987414549607</v>
      </c>
      <c r="T309">
        <f>MAX(Table1[OTD])</f>
        <v>1</v>
      </c>
      <c r="U309" t="str">
        <f>IF(Table1[[#This Row],[Vendor Score]]&gt;=90%,"Excellent",IF(Table1[[#This Row],[Vendor Score]]&gt;=75%,"Moderate","Poor"))</f>
        <v>Moderate</v>
      </c>
    </row>
    <row r="310" spans="1:21" x14ac:dyDescent="0.35">
      <c r="A310" t="s">
        <v>92</v>
      </c>
      <c r="B310" t="s">
        <v>59</v>
      </c>
      <c r="C310" t="s">
        <v>60</v>
      </c>
      <c r="D310" t="s">
        <v>19</v>
      </c>
      <c r="E310" t="s">
        <v>28</v>
      </c>
      <c r="F310">
        <v>1449</v>
      </c>
      <c r="G310">
        <v>1383</v>
      </c>
      <c r="H310" s="1">
        <v>46267</v>
      </c>
      <c r="I310" s="1">
        <v>46266</v>
      </c>
      <c r="J310">
        <v>83</v>
      </c>
      <c r="K310">
        <v>99</v>
      </c>
      <c r="L310">
        <f t="shared" si="20"/>
        <v>-1</v>
      </c>
      <c r="M310" s="6">
        <f t="shared" si="21"/>
        <v>1</v>
      </c>
      <c r="N310" s="6">
        <f t="shared" si="22"/>
        <v>0.95445134575569357</v>
      </c>
      <c r="O310" s="6">
        <f t="shared" si="23"/>
        <v>0.93998553868402024</v>
      </c>
      <c r="P310">
        <f t="shared" si="24"/>
        <v>136917</v>
      </c>
      <c r="Q310" s="6">
        <f>MIN(Table1[Unit Price])/Table1[[#This Row],[Unit Price]]</f>
        <v>5.0505050505050504E-2</v>
      </c>
      <c r="R310" s="8">
        <f>IF(Table1[[#This Row],[Delivery Delay]]&gt;0,1,0)</f>
        <v>0</v>
      </c>
      <c r="S310" s="6">
        <f>(Table1[[#This Row],[OTD]]*0.4)+(Table1[[#This Row],[Quality Rate]]*0.3)+(Table1[[#This Row],[Fill Rate]]*0.2)+(Table1[[#This Row],[Cost Score]]*0.1)</f>
        <v>0.87793643580684988</v>
      </c>
      <c r="T310">
        <f>MAX(Table1[OTD])</f>
        <v>1</v>
      </c>
      <c r="U310" t="str">
        <f>IF(Table1[[#This Row],[Vendor Score]]&gt;=90%,"Excellent",IF(Table1[[#This Row],[Vendor Score]]&gt;=75%,"Moderate","Poor"))</f>
        <v>Moderate</v>
      </c>
    </row>
    <row r="311" spans="1:21" x14ac:dyDescent="0.35">
      <c r="A311" t="s">
        <v>256</v>
      </c>
      <c r="B311" t="s">
        <v>22</v>
      </c>
      <c r="C311" t="s">
        <v>23</v>
      </c>
      <c r="D311" t="s">
        <v>33</v>
      </c>
      <c r="E311" t="s">
        <v>20</v>
      </c>
      <c r="F311">
        <v>1297</v>
      </c>
      <c r="G311">
        <v>1272</v>
      </c>
      <c r="H311" s="1">
        <v>46233</v>
      </c>
      <c r="I311" s="1">
        <v>46232</v>
      </c>
      <c r="J311">
        <v>95</v>
      </c>
      <c r="K311">
        <v>131</v>
      </c>
      <c r="L311">
        <f t="shared" si="20"/>
        <v>-1</v>
      </c>
      <c r="M311" s="6">
        <f t="shared" si="21"/>
        <v>1</v>
      </c>
      <c r="N311" s="6">
        <f t="shared" si="22"/>
        <v>0.98072474942174248</v>
      </c>
      <c r="O311" s="6">
        <f t="shared" si="23"/>
        <v>0.92531446540880502</v>
      </c>
      <c r="P311">
        <f t="shared" si="24"/>
        <v>166632</v>
      </c>
      <c r="Q311" s="6">
        <f>MIN(Table1[Unit Price])/Table1[[#This Row],[Unit Price]]</f>
        <v>3.8167938931297711E-2</v>
      </c>
      <c r="R311" s="8">
        <f>IF(Table1[[#This Row],[Delivery Delay]]&gt;0,1,0)</f>
        <v>0</v>
      </c>
      <c r="S311" s="6">
        <f>(Table1[[#This Row],[OTD]]*0.4)+(Table1[[#This Row],[Quality Rate]]*0.3)+(Table1[[#This Row],[Fill Rate]]*0.2)+(Table1[[#This Row],[Cost Score]]*0.1)</f>
        <v>0.87755608340011981</v>
      </c>
      <c r="T311">
        <f>MAX(Table1[OTD])</f>
        <v>1</v>
      </c>
      <c r="U311" t="str">
        <f>IF(Table1[[#This Row],[Vendor Score]]&gt;=90%,"Excellent",IF(Table1[[#This Row],[Vendor Score]]&gt;=75%,"Moderate","Poor"))</f>
        <v>Moderate</v>
      </c>
    </row>
    <row r="312" spans="1:21" x14ac:dyDescent="0.35">
      <c r="A312" t="s">
        <v>32</v>
      </c>
      <c r="B312" t="s">
        <v>17</v>
      </c>
      <c r="C312" t="s">
        <v>18</v>
      </c>
      <c r="D312" t="s">
        <v>33</v>
      </c>
      <c r="E312" t="s">
        <v>34</v>
      </c>
      <c r="F312">
        <v>993</v>
      </c>
      <c r="G312">
        <v>922</v>
      </c>
      <c r="H312" s="1">
        <v>46192</v>
      </c>
      <c r="I312" s="1">
        <v>46192</v>
      </c>
      <c r="J312">
        <v>39</v>
      </c>
      <c r="K312">
        <v>110</v>
      </c>
      <c r="L312">
        <f t="shared" si="20"/>
        <v>0</v>
      </c>
      <c r="M312" s="6">
        <f t="shared" si="21"/>
        <v>1</v>
      </c>
      <c r="N312" s="6">
        <f t="shared" si="22"/>
        <v>0.92849949647532726</v>
      </c>
      <c r="O312" s="6">
        <f t="shared" si="23"/>
        <v>0.95770065075921906</v>
      </c>
      <c r="P312">
        <f t="shared" si="24"/>
        <v>101420</v>
      </c>
      <c r="Q312" s="6">
        <f>MIN(Table1[Unit Price])/Table1[[#This Row],[Unit Price]]</f>
        <v>4.5454545454545456E-2</v>
      </c>
      <c r="R312" s="8">
        <f>IF(Table1[[#This Row],[Delivery Delay]]&gt;0,1,0)</f>
        <v>0</v>
      </c>
      <c r="S312" s="6">
        <f>(Table1[[#This Row],[OTD]]*0.4)+(Table1[[#This Row],[Quality Rate]]*0.3)+(Table1[[#This Row],[Fill Rate]]*0.2)+(Table1[[#This Row],[Cost Score]]*0.1)</f>
        <v>0.8775555490682857</v>
      </c>
      <c r="T312">
        <f>MAX(Table1[OTD])</f>
        <v>1</v>
      </c>
      <c r="U312" t="str">
        <f>IF(Table1[[#This Row],[Vendor Score]]&gt;=90%,"Excellent",IF(Table1[[#This Row],[Vendor Score]]&gt;=75%,"Moderate","Poor"))</f>
        <v>Moderate</v>
      </c>
    </row>
    <row r="313" spans="1:21" x14ac:dyDescent="0.35">
      <c r="A313" t="s">
        <v>135</v>
      </c>
      <c r="B313" t="s">
        <v>59</v>
      </c>
      <c r="C313" t="s">
        <v>60</v>
      </c>
      <c r="D313" t="s">
        <v>55</v>
      </c>
      <c r="E313" t="s">
        <v>63</v>
      </c>
      <c r="F313">
        <v>207</v>
      </c>
      <c r="G313">
        <v>207</v>
      </c>
      <c r="H313" s="1">
        <v>46059</v>
      </c>
      <c r="I313" s="1">
        <v>46057</v>
      </c>
      <c r="J313">
        <v>17</v>
      </c>
      <c r="K313">
        <v>231</v>
      </c>
      <c r="L313">
        <f t="shared" si="20"/>
        <v>-2</v>
      </c>
      <c r="M313" s="6">
        <f t="shared" si="21"/>
        <v>1</v>
      </c>
      <c r="N313" s="6">
        <f t="shared" si="22"/>
        <v>1</v>
      </c>
      <c r="O313" s="6">
        <f t="shared" si="23"/>
        <v>0.91787439613526567</v>
      </c>
      <c r="P313">
        <f t="shared" si="24"/>
        <v>47817</v>
      </c>
      <c r="Q313" s="6">
        <f>MIN(Table1[Unit Price])/Table1[[#This Row],[Unit Price]]</f>
        <v>2.1645021645021644E-2</v>
      </c>
      <c r="R313" s="8">
        <f>IF(Table1[[#This Row],[Delivery Delay]]&gt;0,1,0)</f>
        <v>0</v>
      </c>
      <c r="S313" s="6">
        <f>(Table1[[#This Row],[OTD]]*0.4)+(Table1[[#This Row],[Quality Rate]]*0.3)+(Table1[[#This Row],[Fill Rate]]*0.2)+(Table1[[#This Row],[Cost Score]]*0.1)</f>
        <v>0.87752682100508184</v>
      </c>
      <c r="T313">
        <f>MAX(Table1[OTD])</f>
        <v>1</v>
      </c>
      <c r="U313" t="str">
        <f>IF(Table1[[#This Row],[Vendor Score]]&gt;=90%,"Excellent",IF(Table1[[#This Row],[Vendor Score]]&gt;=75%,"Moderate","Poor"))</f>
        <v>Moderate</v>
      </c>
    </row>
    <row r="314" spans="1:21" x14ac:dyDescent="0.35">
      <c r="A314" t="s">
        <v>100</v>
      </c>
      <c r="B314" t="s">
        <v>22</v>
      </c>
      <c r="C314" t="s">
        <v>23</v>
      </c>
      <c r="D314" t="s">
        <v>33</v>
      </c>
      <c r="E314" t="s">
        <v>24</v>
      </c>
      <c r="F314">
        <v>1756</v>
      </c>
      <c r="G314">
        <v>1692</v>
      </c>
      <c r="H314" s="1">
        <v>46171</v>
      </c>
      <c r="I314" s="1">
        <v>46169</v>
      </c>
      <c r="J314">
        <v>124</v>
      </c>
      <c r="K314">
        <v>75</v>
      </c>
      <c r="L314">
        <f t="shared" si="20"/>
        <v>-2</v>
      </c>
      <c r="M314" s="6">
        <f t="shared" si="21"/>
        <v>1</v>
      </c>
      <c r="N314" s="6">
        <f t="shared" si="22"/>
        <v>0.96355353075170846</v>
      </c>
      <c r="O314" s="6">
        <f t="shared" si="23"/>
        <v>0.92671394799054374</v>
      </c>
      <c r="P314">
        <f t="shared" si="24"/>
        <v>126900</v>
      </c>
      <c r="Q314" s="6">
        <f>MIN(Table1[Unit Price])/Table1[[#This Row],[Unit Price]]</f>
        <v>6.6666666666666666E-2</v>
      </c>
      <c r="R314" s="8">
        <f>IF(Table1[[#This Row],[Delivery Delay]]&gt;0,1,0)</f>
        <v>0</v>
      </c>
      <c r="S314" s="6">
        <f>(Table1[[#This Row],[OTD]]*0.4)+(Table1[[#This Row],[Quality Rate]]*0.3)+(Table1[[#This Row],[Fill Rate]]*0.2)+(Table1[[#This Row],[Cost Score]]*0.1)</f>
        <v>0.87739155721417161</v>
      </c>
      <c r="T314">
        <f>MAX(Table1[OTD])</f>
        <v>1</v>
      </c>
      <c r="U314" t="str">
        <f>IF(Table1[[#This Row],[Vendor Score]]&gt;=90%,"Excellent",IF(Table1[[#This Row],[Vendor Score]]&gt;=75%,"Moderate","Poor"))</f>
        <v>Moderate</v>
      </c>
    </row>
    <row r="315" spans="1:21" x14ac:dyDescent="0.35">
      <c r="A315" t="s">
        <v>535</v>
      </c>
      <c r="B315" t="s">
        <v>78</v>
      </c>
      <c r="C315" t="s">
        <v>79</v>
      </c>
      <c r="D315" t="s">
        <v>33</v>
      </c>
      <c r="E315" t="s">
        <v>57</v>
      </c>
      <c r="F315">
        <v>3572</v>
      </c>
      <c r="G315">
        <v>3340</v>
      </c>
      <c r="H315" s="1">
        <v>46319</v>
      </c>
      <c r="I315" s="1">
        <v>46319</v>
      </c>
      <c r="J315">
        <v>169</v>
      </c>
      <c r="K315">
        <v>90</v>
      </c>
      <c r="L315">
        <f t="shared" si="20"/>
        <v>0</v>
      </c>
      <c r="M315" s="6">
        <f t="shared" si="21"/>
        <v>1</v>
      </c>
      <c r="N315" s="6">
        <f t="shared" si="22"/>
        <v>0.93505039193729</v>
      </c>
      <c r="O315" s="6">
        <f t="shared" si="23"/>
        <v>0.94940119760479047</v>
      </c>
      <c r="P315">
        <f t="shared" si="24"/>
        <v>300600</v>
      </c>
      <c r="Q315" s="6">
        <f>MIN(Table1[Unit Price])/Table1[[#This Row],[Unit Price]]</f>
        <v>5.5555555555555552E-2</v>
      </c>
      <c r="R315" s="8">
        <f>IF(Table1[[#This Row],[Delivery Delay]]&gt;0,1,0)</f>
        <v>0</v>
      </c>
      <c r="S315" s="6">
        <f>(Table1[[#This Row],[OTD]]*0.4)+(Table1[[#This Row],[Quality Rate]]*0.3)+(Table1[[#This Row],[Fill Rate]]*0.2)+(Table1[[#This Row],[Cost Score]]*0.1)</f>
        <v>0.87738599322445066</v>
      </c>
      <c r="T315">
        <f>MAX(Table1[OTD])</f>
        <v>1</v>
      </c>
      <c r="U315" t="str">
        <f>IF(Table1[[#This Row],[Vendor Score]]&gt;=90%,"Excellent",IF(Table1[[#This Row],[Vendor Score]]&gt;=75%,"Moderate","Poor"))</f>
        <v>Moderate</v>
      </c>
    </row>
    <row r="316" spans="1:21" x14ac:dyDescent="0.35">
      <c r="A316" t="s">
        <v>119</v>
      </c>
      <c r="B316" t="s">
        <v>22</v>
      </c>
      <c r="C316" t="s">
        <v>23</v>
      </c>
      <c r="D316" t="s">
        <v>14</v>
      </c>
      <c r="E316" t="s">
        <v>70</v>
      </c>
      <c r="F316">
        <v>3556</v>
      </c>
      <c r="G316">
        <v>3429</v>
      </c>
      <c r="H316" s="1">
        <v>46035</v>
      </c>
      <c r="I316" s="1">
        <v>46034</v>
      </c>
      <c r="J316">
        <v>245</v>
      </c>
      <c r="K316">
        <v>84</v>
      </c>
      <c r="L316">
        <f t="shared" si="20"/>
        <v>-1</v>
      </c>
      <c r="M316" s="6">
        <f t="shared" si="21"/>
        <v>1</v>
      </c>
      <c r="N316" s="6">
        <f t="shared" si="22"/>
        <v>0.9642857142857143</v>
      </c>
      <c r="O316" s="6">
        <f t="shared" si="23"/>
        <v>0.92855059784193639</v>
      </c>
      <c r="P316">
        <f t="shared" si="24"/>
        <v>288036</v>
      </c>
      <c r="Q316" s="6">
        <f>MIN(Table1[Unit Price])/Table1[[#This Row],[Unit Price]]</f>
        <v>5.9523809523809521E-2</v>
      </c>
      <c r="R316" s="8">
        <f>IF(Table1[[#This Row],[Delivery Delay]]&gt;0,1,0)</f>
        <v>0</v>
      </c>
      <c r="S316" s="6">
        <f>(Table1[[#This Row],[OTD]]*0.4)+(Table1[[#This Row],[Quality Rate]]*0.3)+(Table1[[#This Row],[Fill Rate]]*0.2)+(Table1[[#This Row],[Cost Score]]*0.1)</f>
        <v>0.87737470316210464</v>
      </c>
      <c r="T316">
        <f>MAX(Table1[OTD])</f>
        <v>1</v>
      </c>
      <c r="U316" t="str">
        <f>IF(Table1[[#This Row],[Vendor Score]]&gt;=90%,"Excellent",IF(Table1[[#This Row],[Vendor Score]]&gt;=75%,"Moderate","Poor"))</f>
        <v>Moderate</v>
      </c>
    </row>
    <row r="317" spans="1:21" x14ac:dyDescent="0.35">
      <c r="A317" t="s">
        <v>382</v>
      </c>
      <c r="B317" t="s">
        <v>12</v>
      </c>
      <c r="C317" t="s">
        <v>13</v>
      </c>
      <c r="D317" t="s">
        <v>14</v>
      </c>
      <c r="E317" t="s">
        <v>24</v>
      </c>
      <c r="F317">
        <v>2480</v>
      </c>
      <c r="G317">
        <v>2383</v>
      </c>
      <c r="H317" s="1">
        <v>46148</v>
      </c>
      <c r="I317" s="1">
        <v>46146</v>
      </c>
      <c r="J317">
        <v>291</v>
      </c>
      <c r="K317">
        <v>23</v>
      </c>
      <c r="L317">
        <f t="shared" si="20"/>
        <v>-2</v>
      </c>
      <c r="M317" s="6">
        <f t="shared" si="21"/>
        <v>1</v>
      </c>
      <c r="N317" s="6">
        <f t="shared" si="22"/>
        <v>0.96088709677419359</v>
      </c>
      <c r="O317" s="6">
        <f t="shared" si="23"/>
        <v>0.87788501888375992</v>
      </c>
      <c r="P317">
        <f t="shared" si="24"/>
        <v>54809</v>
      </c>
      <c r="Q317" s="6">
        <f>MIN(Table1[Unit Price])/Table1[[#This Row],[Unit Price]]</f>
        <v>0.21739130434782608</v>
      </c>
      <c r="R317" s="8">
        <f>IF(Table1[[#This Row],[Delivery Delay]]&gt;0,1,0)</f>
        <v>0</v>
      </c>
      <c r="S317" s="6">
        <f>(Table1[[#This Row],[OTD]]*0.4)+(Table1[[#This Row],[Quality Rate]]*0.3)+(Table1[[#This Row],[Fill Rate]]*0.2)+(Table1[[#This Row],[Cost Score]]*0.1)</f>
        <v>0.87728205545474924</v>
      </c>
      <c r="T317">
        <f>MAX(Table1[OTD])</f>
        <v>1</v>
      </c>
      <c r="U317" t="str">
        <f>IF(Table1[[#This Row],[Vendor Score]]&gt;=90%,"Excellent",IF(Table1[[#This Row],[Vendor Score]]&gt;=75%,"Moderate","Poor"))</f>
        <v>Moderate</v>
      </c>
    </row>
    <row r="318" spans="1:21" x14ac:dyDescent="0.35">
      <c r="A318" t="s">
        <v>425</v>
      </c>
      <c r="B318" t="s">
        <v>78</v>
      </c>
      <c r="C318" t="s">
        <v>79</v>
      </c>
      <c r="D318" t="s">
        <v>55</v>
      </c>
      <c r="E318" t="s">
        <v>28</v>
      </c>
      <c r="F318">
        <v>2531</v>
      </c>
      <c r="G318">
        <v>2375</v>
      </c>
      <c r="H318" s="1">
        <v>46295</v>
      </c>
      <c r="I318" s="1">
        <v>46293</v>
      </c>
      <c r="J318">
        <v>124</v>
      </c>
      <c r="K318">
        <v>97</v>
      </c>
      <c r="L318">
        <f t="shared" si="20"/>
        <v>-2</v>
      </c>
      <c r="M318" s="6">
        <f t="shared" si="21"/>
        <v>1</v>
      </c>
      <c r="N318" s="6">
        <f t="shared" si="22"/>
        <v>0.93836428289213747</v>
      </c>
      <c r="O318" s="6">
        <f t="shared" si="23"/>
        <v>0.94778947368421052</v>
      </c>
      <c r="P318">
        <f t="shared" si="24"/>
        <v>230375</v>
      </c>
      <c r="Q318" s="6">
        <f>MIN(Table1[Unit Price])/Table1[[#This Row],[Unit Price]]</f>
        <v>5.1546391752577317E-2</v>
      </c>
      <c r="R318" s="8">
        <f>IF(Table1[[#This Row],[Delivery Delay]]&gt;0,1,0)</f>
        <v>0</v>
      </c>
      <c r="S318" s="6">
        <f>(Table1[[#This Row],[OTD]]*0.4)+(Table1[[#This Row],[Quality Rate]]*0.3)+(Table1[[#This Row],[Fill Rate]]*0.2)+(Table1[[#This Row],[Cost Score]]*0.1)</f>
        <v>0.87716433785894832</v>
      </c>
      <c r="T318">
        <f>MAX(Table1[OTD])</f>
        <v>1</v>
      </c>
      <c r="U318" t="str">
        <f>IF(Table1[[#This Row],[Vendor Score]]&gt;=90%,"Excellent",IF(Table1[[#This Row],[Vendor Score]]&gt;=75%,"Moderate","Poor"))</f>
        <v>Moderate</v>
      </c>
    </row>
    <row r="319" spans="1:21" x14ac:dyDescent="0.35">
      <c r="A319" t="s">
        <v>186</v>
      </c>
      <c r="B319" t="s">
        <v>17</v>
      </c>
      <c r="C319" t="s">
        <v>18</v>
      </c>
      <c r="D319" t="s">
        <v>19</v>
      </c>
      <c r="E319" t="s">
        <v>28</v>
      </c>
      <c r="F319">
        <v>3093</v>
      </c>
      <c r="G319">
        <v>2882</v>
      </c>
      <c r="H319" s="1">
        <v>46267</v>
      </c>
      <c r="I319" s="1">
        <v>46267</v>
      </c>
      <c r="J319">
        <v>117</v>
      </c>
      <c r="K319">
        <v>170</v>
      </c>
      <c r="L319">
        <f t="shared" si="20"/>
        <v>0</v>
      </c>
      <c r="M319" s="6">
        <f t="shared" si="21"/>
        <v>1</v>
      </c>
      <c r="N319" s="6">
        <f t="shared" si="22"/>
        <v>0.9317814419657291</v>
      </c>
      <c r="O319" s="6">
        <f t="shared" si="23"/>
        <v>0.95940319222761972</v>
      </c>
      <c r="P319">
        <f t="shared" si="24"/>
        <v>489940</v>
      </c>
      <c r="Q319" s="6">
        <f>MIN(Table1[Unit Price])/Table1[[#This Row],[Unit Price]]</f>
        <v>2.9411764705882353E-2</v>
      </c>
      <c r="R319" s="8">
        <f>IF(Table1[[#This Row],[Delivery Delay]]&gt;0,1,0)</f>
        <v>0</v>
      </c>
      <c r="S319" s="6">
        <f>(Table1[[#This Row],[OTD]]*0.4)+(Table1[[#This Row],[Quality Rate]]*0.3)+(Table1[[#This Row],[Fill Rate]]*0.2)+(Table1[[#This Row],[Cost Score]]*0.1)</f>
        <v>0.87711842253201988</v>
      </c>
      <c r="T319">
        <f>MAX(Table1[OTD])</f>
        <v>1</v>
      </c>
      <c r="U319" t="str">
        <f>IF(Table1[[#This Row],[Vendor Score]]&gt;=90%,"Excellent",IF(Table1[[#This Row],[Vendor Score]]&gt;=75%,"Moderate","Poor"))</f>
        <v>Moderate</v>
      </c>
    </row>
    <row r="320" spans="1:21" x14ac:dyDescent="0.35">
      <c r="A320" t="s">
        <v>469</v>
      </c>
      <c r="B320" t="s">
        <v>22</v>
      </c>
      <c r="C320" t="s">
        <v>23</v>
      </c>
      <c r="D320" t="s">
        <v>14</v>
      </c>
      <c r="E320" t="s">
        <v>15</v>
      </c>
      <c r="F320">
        <v>2029</v>
      </c>
      <c r="G320">
        <v>1910</v>
      </c>
      <c r="H320" s="1">
        <v>46366</v>
      </c>
      <c r="I320" s="1">
        <v>46364</v>
      </c>
      <c r="J320">
        <v>136</v>
      </c>
      <c r="K320">
        <v>49</v>
      </c>
      <c r="L320">
        <f t="shared" si="20"/>
        <v>-2</v>
      </c>
      <c r="M320" s="6">
        <f t="shared" si="21"/>
        <v>1</v>
      </c>
      <c r="N320" s="6">
        <f t="shared" si="22"/>
        <v>0.94135041892557914</v>
      </c>
      <c r="O320" s="6">
        <f t="shared" si="23"/>
        <v>0.92879581151832458</v>
      </c>
      <c r="P320">
        <f t="shared" si="24"/>
        <v>93590</v>
      </c>
      <c r="Q320" s="6">
        <f>MIN(Table1[Unit Price])/Table1[[#This Row],[Unit Price]]</f>
        <v>0.10204081632653061</v>
      </c>
      <c r="R320" s="8">
        <f>IF(Table1[[#This Row],[Delivery Delay]]&gt;0,1,0)</f>
        <v>0</v>
      </c>
      <c r="S320" s="6">
        <f>(Table1[[#This Row],[OTD]]*0.4)+(Table1[[#This Row],[Quality Rate]]*0.3)+(Table1[[#This Row],[Fill Rate]]*0.2)+(Table1[[#This Row],[Cost Score]]*0.1)</f>
        <v>0.87711290887326643</v>
      </c>
      <c r="T320">
        <f>MAX(Table1[OTD])</f>
        <v>1</v>
      </c>
      <c r="U320" t="str">
        <f>IF(Table1[[#This Row],[Vendor Score]]&gt;=90%,"Excellent",IF(Table1[[#This Row],[Vendor Score]]&gt;=75%,"Moderate","Poor"))</f>
        <v>Moderate</v>
      </c>
    </row>
    <row r="321" spans="1:21" x14ac:dyDescent="0.35">
      <c r="A321" t="s">
        <v>429</v>
      </c>
      <c r="B321" t="s">
        <v>22</v>
      </c>
      <c r="C321" t="s">
        <v>23</v>
      </c>
      <c r="D321" t="s">
        <v>33</v>
      </c>
      <c r="E321" t="s">
        <v>57</v>
      </c>
      <c r="F321">
        <v>658</v>
      </c>
      <c r="G321">
        <v>643</v>
      </c>
      <c r="H321" s="1">
        <v>46326</v>
      </c>
      <c r="I321" s="1">
        <v>46324</v>
      </c>
      <c r="J321">
        <v>46</v>
      </c>
      <c r="K321">
        <v>160</v>
      </c>
      <c r="L321">
        <f t="shared" si="20"/>
        <v>-2</v>
      </c>
      <c r="M321" s="6">
        <f t="shared" si="21"/>
        <v>1</v>
      </c>
      <c r="N321" s="6">
        <f t="shared" si="22"/>
        <v>0.97720364741641341</v>
      </c>
      <c r="O321" s="6">
        <f t="shared" si="23"/>
        <v>0.92846034214618978</v>
      </c>
      <c r="P321">
        <f t="shared" si="24"/>
        <v>102880</v>
      </c>
      <c r="Q321" s="6">
        <f>MIN(Table1[Unit Price])/Table1[[#This Row],[Unit Price]]</f>
        <v>3.125E-2</v>
      </c>
      <c r="R321" s="8">
        <f>IF(Table1[[#This Row],[Delivery Delay]]&gt;0,1,0)</f>
        <v>0</v>
      </c>
      <c r="S321" s="6">
        <f>(Table1[[#This Row],[OTD]]*0.4)+(Table1[[#This Row],[Quality Rate]]*0.3)+(Table1[[#This Row],[Fill Rate]]*0.2)+(Table1[[#This Row],[Cost Score]]*0.1)</f>
        <v>0.87710383212713972</v>
      </c>
      <c r="T321">
        <f>MAX(Table1[OTD])</f>
        <v>1</v>
      </c>
      <c r="U321" t="str">
        <f>IF(Table1[[#This Row],[Vendor Score]]&gt;=90%,"Excellent",IF(Table1[[#This Row],[Vendor Score]]&gt;=75%,"Moderate","Poor"))</f>
        <v>Moderate</v>
      </c>
    </row>
    <row r="322" spans="1:21" x14ac:dyDescent="0.35">
      <c r="A322" t="s">
        <v>315</v>
      </c>
      <c r="B322" t="s">
        <v>17</v>
      </c>
      <c r="C322" t="s">
        <v>18</v>
      </c>
      <c r="D322" t="s">
        <v>55</v>
      </c>
      <c r="E322" t="s">
        <v>28</v>
      </c>
      <c r="F322">
        <v>4047</v>
      </c>
      <c r="G322">
        <v>3780</v>
      </c>
      <c r="H322" s="1">
        <v>46276</v>
      </c>
      <c r="I322" s="1">
        <v>46275</v>
      </c>
      <c r="J322">
        <v>154</v>
      </c>
      <c r="K322">
        <v>206</v>
      </c>
      <c r="L322">
        <f t="shared" ref="L322:L385" si="25">I322-H322</f>
        <v>-1</v>
      </c>
      <c r="M322" s="6">
        <f t="shared" ref="M322:M385" si="26">IF(L322&lt;=0,1,0)</f>
        <v>1</v>
      </c>
      <c r="N322" s="6">
        <f t="shared" ref="N322:N385" si="27">G322/F322</f>
        <v>0.93402520385470722</v>
      </c>
      <c r="O322" s="6">
        <f t="shared" ref="O322:O385" si="28">(G322-J322)/G322</f>
        <v>0.95925925925925926</v>
      </c>
      <c r="P322">
        <f t="shared" ref="P322:P385" si="29">G322*K322</f>
        <v>778680</v>
      </c>
      <c r="Q322" s="6">
        <f>MIN(Table1[Unit Price])/Table1[[#This Row],[Unit Price]]</f>
        <v>2.4271844660194174E-2</v>
      </c>
      <c r="R322" s="8">
        <f>IF(Table1[[#This Row],[Delivery Delay]]&gt;0,1,0)</f>
        <v>0</v>
      </c>
      <c r="S322" s="6">
        <f>(Table1[[#This Row],[OTD]]*0.4)+(Table1[[#This Row],[Quality Rate]]*0.3)+(Table1[[#This Row],[Fill Rate]]*0.2)+(Table1[[#This Row],[Cost Score]]*0.1)</f>
        <v>0.87701000301473864</v>
      </c>
      <c r="T322">
        <f>MAX(Table1[OTD])</f>
        <v>1</v>
      </c>
      <c r="U322" t="str">
        <f>IF(Table1[[#This Row],[Vendor Score]]&gt;=90%,"Excellent",IF(Table1[[#This Row],[Vendor Score]]&gt;=75%,"Moderate","Poor"))</f>
        <v>Moderate</v>
      </c>
    </row>
    <row r="323" spans="1:21" x14ac:dyDescent="0.35">
      <c r="A323" t="s">
        <v>127</v>
      </c>
      <c r="B323" t="s">
        <v>22</v>
      </c>
      <c r="C323" t="s">
        <v>23</v>
      </c>
      <c r="D323" t="s">
        <v>14</v>
      </c>
      <c r="E323" t="s">
        <v>96</v>
      </c>
      <c r="F323">
        <v>599</v>
      </c>
      <c r="G323">
        <v>578</v>
      </c>
      <c r="H323" s="1">
        <v>46114</v>
      </c>
      <c r="I323" s="1">
        <v>46113</v>
      </c>
      <c r="J323">
        <v>42</v>
      </c>
      <c r="K323">
        <v>88</v>
      </c>
      <c r="L323">
        <f t="shared" si="25"/>
        <v>-1</v>
      </c>
      <c r="M323" s="6">
        <f t="shared" si="26"/>
        <v>1</v>
      </c>
      <c r="N323" s="6">
        <f t="shared" si="27"/>
        <v>0.96494156928213692</v>
      </c>
      <c r="O323" s="6">
        <f t="shared" si="28"/>
        <v>0.9273356401384083</v>
      </c>
      <c r="P323">
        <f t="shared" si="29"/>
        <v>50864</v>
      </c>
      <c r="Q323" s="6">
        <f>MIN(Table1[Unit Price])/Table1[[#This Row],[Unit Price]]</f>
        <v>5.6818181818181816E-2</v>
      </c>
      <c r="R323" s="8">
        <f>IF(Table1[[#This Row],[Delivery Delay]]&gt;0,1,0)</f>
        <v>0</v>
      </c>
      <c r="S323" s="6">
        <f>(Table1[[#This Row],[OTD]]*0.4)+(Table1[[#This Row],[Quality Rate]]*0.3)+(Table1[[#This Row],[Fill Rate]]*0.2)+(Table1[[#This Row],[Cost Score]]*0.1)</f>
        <v>0.87687082407976813</v>
      </c>
      <c r="T323">
        <f>MAX(Table1[OTD])</f>
        <v>1</v>
      </c>
      <c r="U323" t="str">
        <f>IF(Table1[[#This Row],[Vendor Score]]&gt;=90%,"Excellent",IF(Table1[[#This Row],[Vendor Score]]&gt;=75%,"Moderate","Poor"))</f>
        <v>Moderate</v>
      </c>
    </row>
    <row r="324" spans="1:21" x14ac:dyDescent="0.35">
      <c r="A324" t="s">
        <v>534</v>
      </c>
      <c r="B324" t="s">
        <v>22</v>
      </c>
      <c r="C324" t="s">
        <v>23</v>
      </c>
      <c r="D324" t="s">
        <v>33</v>
      </c>
      <c r="E324" t="s">
        <v>20</v>
      </c>
      <c r="F324">
        <v>1544</v>
      </c>
      <c r="G324">
        <v>1516</v>
      </c>
      <c r="H324" s="1">
        <v>46230</v>
      </c>
      <c r="I324" s="1">
        <v>46230</v>
      </c>
      <c r="J324">
        <v>110</v>
      </c>
      <c r="K324">
        <v>235</v>
      </c>
      <c r="L324">
        <f t="shared" si="25"/>
        <v>0</v>
      </c>
      <c r="M324" s="6">
        <f t="shared" si="26"/>
        <v>1</v>
      </c>
      <c r="N324" s="6">
        <f t="shared" si="27"/>
        <v>0.98186528497409331</v>
      </c>
      <c r="O324" s="6">
        <f t="shared" si="28"/>
        <v>0.92744063324538262</v>
      </c>
      <c r="P324">
        <f t="shared" si="29"/>
        <v>356260</v>
      </c>
      <c r="Q324" s="6">
        <f>MIN(Table1[Unit Price])/Table1[[#This Row],[Unit Price]]</f>
        <v>2.1276595744680851E-2</v>
      </c>
      <c r="R324" s="8">
        <f>IF(Table1[[#This Row],[Delivery Delay]]&gt;0,1,0)</f>
        <v>0</v>
      </c>
      <c r="S324" s="6">
        <f>(Table1[[#This Row],[OTD]]*0.4)+(Table1[[#This Row],[Quality Rate]]*0.3)+(Table1[[#This Row],[Fill Rate]]*0.2)+(Table1[[#This Row],[Cost Score]]*0.1)</f>
        <v>0.87673290654290148</v>
      </c>
      <c r="T324">
        <f>MAX(Table1[OTD])</f>
        <v>1</v>
      </c>
      <c r="U324" t="str">
        <f>IF(Table1[[#This Row],[Vendor Score]]&gt;=90%,"Excellent",IF(Table1[[#This Row],[Vendor Score]]&gt;=75%,"Moderate","Poor"))</f>
        <v>Moderate</v>
      </c>
    </row>
    <row r="325" spans="1:21" x14ac:dyDescent="0.35">
      <c r="A325" t="s">
        <v>385</v>
      </c>
      <c r="B325" t="s">
        <v>22</v>
      </c>
      <c r="C325" t="s">
        <v>23</v>
      </c>
      <c r="D325" t="s">
        <v>14</v>
      </c>
      <c r="E325" t="s">
        <v>15</v>
      </c>
      <c r="F325">
        <v>2706</v>
      </c>
      <c r="G325">
        <v>2634</v>
      </c>
      <c r="H325" s="1">
        <v>46375</v>
      </c>
      <c r="I325" s="1">
        <v>46373</v>
      </c>
      <c r="J325">
        <v>185</v>
      </c>
      <c r="K325">
        <v>170</v>
      </c>
      <c r="L325">
        <f t="shared" si="25"/>
        <v>-2</v>
      </c>
      <c r="M325" s="6">
        <f t="shared" si="26"/>
        <v>1</v>
      </c>
      <c r="N325" s="6">
        <f t="shared" si="27"/>
        <v>0.97339246119733924</v>
      </c>
      <c r="O325" s="6">
        <f t="shared" si="28"/>
        <v>0.92976461655277143</v>
      </c>
      <c r="P325">
        <f t="shared" si="29"/>
        <v>447780</v>
      </c>
      <c r="Q325" s="6">
        <f>MIN(Table1[Unit Price])/Table1[[#This Row],[Unit Price]]</f>
        <v>2.9411764705882353E-2</v>
      </c>
      <c r="R325" s="8">
        <f>IF(Table1[[#This Row],[Delivery Delay]]&gt;0,1,0)</f>
        <v>0</v>
      </c>
      <c r="S325" s="6">
        <f>(Table1[[#This Row],[OTD]]*0.4)+(Table1[[#This Row],[Quality Rate]]*0.3)+(Table1[[#This Row],[Fill Rate]]*0.2)+(Table1[[#This Row],[Cost Score]]*0.1)</f>
        <v>0.87654905367588754</v>
      </c>
      <c r="T325">
        <f>MAX(Table1[OTD])</f>
        <v>1</v>
      </c>
      <c r="U325" t="str">
        <f>IF(Table1[[#This Row],[Vendor Score]]&gt;=90%,"Excellent",IF(Table1[[#This Row],[Vendor Score]]&gt;=75%,"Moderate","Poor"))</f>
        <v>Moderate</v>
      </c>
    </row>
    <row r="326" spans="1:21" x14ac:dyDescent="0.35">
      <c r="A326" t="s">
        <v>131</v>
      </c>
      <c r="B326" t="s">
        <v>17</v>
      </c>
      <c r="C326" t="s">
        <v>18</v>
      </c>
      <c r="D326" t="s">
        <v>55</v>
      </c>
      <c r="E326" t="s">
        <v>24</v>
      </c>
      <c r="F326">
        <v>2221</v>
      </c>
      <c r="G326">
        <v>2073</v>
      </c>
      <c r="H326" s="1">
        <v>46152</v>
      </c>
      <c r="I326" s="1">
        <v>46152</v>
      </c>
      <c r="J326">
        <v>87</v>
      </c>
      <c r="K326">
        <v>207</v>
      </c>
      <c r="L326">
        <f t="shared" si="25"/>
        <v>0</v>
      </c>
      <c r="M326" s="6">
        <f t="shared" si="26"/>
        <v>1</v>
      </c>
      <c r="N326" s="6">
        <f t="shared" si="27"/>
        <v>0.93336334984241331</v>
      </c>
      <c r="O326" s="6">
        <f t="shared" si="28"/>
        <v>0.95803183791606372</v>
      </c>
      <c r="P326">
        <f t="shared" si="29"/>
        <v>429111</v>
      </c>
      <c r="Q326" s="6">
        <f>MIN(Table1[Unit Price])/Table1[[#This Row],[Unit Price]]</f>
        <v>2.4154589371980676E-2</v>
      </c>
      <c r="R326" s="8">
        <f>IF(Table1[[#This Row],[Delivery Delay]]&gt;0,1,0)</f>
        <v>0</v>
      </c>
      <c r="S326" s="6">
        <f>(Table1[[#This Row],[OTD]]*0.4)+(Table1[[#This Row],[Quality Rate]]*0.3)+(Table1[[#This Row],[Fill Rate]]*0.2)+(Table1[[#This Row],[Cost Score]]*0.1)</f>
        <v>0.87649768028049979</v>
      </c>
      <c r="T326">
        <f>MAX(Table1[OTD])</f>
        <v>1</v>
      </c>
      <c r="U326" t="str">
        <f>IF(Table1[[#This Row],[Vendor Score]]&gt;=90%,"Excellent",IF(Table1[[#This Row],[Vendor Score]]&gt;=75%,"Moderate","Poor"))</f>
        <v>Moderate</v>
      </c>
    </row>
    <row r="327" spans="1:21" x14ac:dyDescent="0.35">
      <c r="A327" t="s">
        <v>329</v>
      </c>
      <c r="B327" t="s">
        <v>78</v>
      </c>
      <c r="C327" t="s">
        <v>79</v>
      </c>
      <c r="D327" t="s">
        <v>19</v>
      </c>
      <c r="E327" t="s">
        <v>52</v>
      </c>
      <c r="F327">
        <v>4856</v>
      </c>
      <c r="G327">
        <v>4567</v>
      </c>
      <c r="H327" s="1">
        <v>46099</v>
      </c>
      <c r="I327" s="1">
        <v>46099</v>
      </c>
      <c r="J327">
        <v>232</v>
      </c>
      <c r="K327">
        <v>140</v>
      </c>
      <c r="L327">
        <f t="shared" si="25"/>
        <v>0</v>
      </c>
      <c r="M327" s="6">
        <f t="shared" si="26"/>
        <v>1</v>
      </c>
      <c r="N327" s="6">
        <f t="shared" si="27"/>
        <v>0.94048599670510713</v>
      </c>
      <c r="O327" s="6">
        <f t="shared" si="28"/>
        <v>0.94920078826363041</v>
      </c>
      <c r="P327">
        <f t="shared" si="29"/>
        <v>639380</v>
      </c>
      <c r="Q327" s="6">
        <f>MIN(Table1[Unit Price])/Table1[[#This Row],[Unit Price]]</f>
        <v>3.5714285714285712E-2</v>
      </c>
      <c r="R327" s="8">
        <f>IF(Table1[[#This Row],[Delivery Delay]]&gt;0,1,0)</f>
        <v>0</v>
      </c>
      <c r="S327" s="6">
        <f>(Table1[[#This Row],[OTD]]*0.4)+(Table1[[#This Row],[Quality Rate]]*0.3)+(Table1[[#This Row],[Fill Rate]]*0.2)+(Table1[[#This Row],[Cost Score]]*0.1)</f>
        <v>0.87642886439153911</v>
      </c>
      <c r="T327">
        <f>MAX(Table1[OTD])</f>
        <v>1</v>
      </c>
      <c r="U327" t="str">
        <f>IF(Table1[[#This Row],[Vendor Score]]&gt;=90%,"Excellent",IF(Table1[[#This Row],[Vendor Score]]&gt;=75%,"Moderate","Poor"))</f>
        <v>Moderate</v>
      </c>
    </row>
    <row r="328" spans="1:21" x14ac:dyDescent="0.35">
      <c r="A328" t="s">
        <v>123</v>
      </c>
      <c r="B328" t="s">
        <v>17</v>
      </c>
      <c r="C328" t="s">
        <v>18</v>
      </c>
      <c r="D328" t="s">
        <v>33</v>
      </c>
      <c r="E328" t="s">
        <v>15</v>
      </c>
      <c r="F328">
        <v>586</v>
      </c>
      <c r="G328">
        <v>551</v>
      </c>
      <c r="H328" s="1">
        <v>46363</v>
      </c>
      <c r="I328" s="1">
        <v>46361</v>
      </c>
      <c r="J328">
        <v>27</v>
      </c>
      <c r="K328">
        <v>165</v>
      </c>
      <c r="L328">
        <f t="shared" si="25"/>
        <v>-2</v>
      </c>
      <c r="M328" s="6">
        <f t="shared" si="26"/>
        <v>1</v>
      </c>
      <c r="N328" s="6">
        <f t="shared" si="27"/>
        <v>0.94027303754266212</v>
      </c>
      <c r="O328" s="6">
        <f t="shared" si="28"/>
        <v>0.9509981851179673</v>
      </c>
      <c r="P328">
        <f t="shared" si="29"/>
        <v>90915</v>
      </c>
      <c r="Q328" s="6">
        <f>MIN(Table1[Unit Price])/Table1[[#This Row],[Unit Price]]</f>
        <v>3.0303030303030304E-2</v>
      </c>
      <c r="R328" s="8">
        <f>IF(Table1[[#This Row],[Delivery Delay]]&gt;0,1,0)</f>
        <v>0</v>
      </c>
      <c r="S328" s="6">
        <f>(Table1[[#This Row],[OTD]]*0.4)+(Table1[[#This Row],[Quality Rate]]*0.3)+(Table1[[#This Row],[Fill Rate]]*0.2)+(Table1[[#This Row],[Cost Score]]*0.1)</f>
        <v>0.87638436607422565</v>
      </c>
      <c r="T328">
        <f>MAX(Table1[OTD])</f>
        <v>1</v>
      </c>
      <c r="U328" t="str">
        <f>IF(Table1[[#This Row],[Vendor Score]]&gt;=90%,"Excellent",IF(Table1[[#This Row],[Vendor Score]]&gt;=75%,"Moderate","Poor"))</f>
        <v>Moderate</v>
      </c>
    </row>
    <row r="329" spans="1:21" x14ac:dyDescent="0.35">
      <c r="A329" t="s">
        <v>471</v>
      </c>
      <c r="B329" t="s">
        <v>59</v>
      </c>
      <c r="C329" t="s">
        <v>60</v>
      </c>
      <c r="D329" t="s">
        <v>14</v>
      </c>
      <c r="E329" t="s">
        <v>63</v>
      </c>
      <c r="F329">
        <v>1163</v>
      </c>
      <c r="G329">
        <v>1120</v>
      </c>
      <c r="H329" s="1">
        <v>46054</v>
      </c>
      <c r="I329" s="1">
        <v>46054</v>
      </c>
      <c r="J329">
        <v>72</v>
      </c>
      <c r="K329">
        <v>171</v>
      </c>
      <c r="L329">
        <f t="shared" si="25"/>
        <v>0</v>
      </c>
      <c r="M329" s="6">
        <f t="shared" si="26"/>
        <v>1</v>
      </c>
      <c r="N329" s="6">
        <f t="shared" si="27"/>
        <v>0.96302665520206365</v>
      </c>
      <c r="O329" s="6">
        <f t="shared" si="28"/>
        <v>0.93571428571428572</v>
      </c>
      <c r="P329">
        <f t="shared" si="29"/>
        <v>191520</v>
      </c>
      <c r="Q329" s="6">
        <f>MIN(Table1[Unit Price])/Table1[[#This Row],[Unit Price]]</f>
        <v>2.9239766081871343E-2</v>
      </c>
      <c r="R329" s="8">
        <f>IF(Table1[[#This Row],[Delivery Delay]]&gt;0,1,0)</f>
        <v>0</v>
      </c>
      <c r="S329" s="6">
        <f>(Table1[[#This Row],[OTD]]*0.4)+(Table1[[#This Row],[Quality Rate]]*0.3)+(Table1[[#This Row],[Fill Rate]]*0.2)+(Table1[[#This Row],[Cost Score]]*0.1)</f>
        <v>0.8762435933628856</v>
      </c>
      <c r="T329">
        <f>MAX(Table1[OTD])</f>
        <v>1</v>
      </c>
      <c r="U329" t="str">
        <f>IF(Table1[[#This Row],[Vendor Score]]&gt;=90%,"Excellent",IF(Table1[[#This Row],[Vendor Score]]&gt;=75%,"Moderate","Poor"))</f>
        <v>Moderate</v>
      </c>
    </row>
    <row r="330" spans="1:21" x14ac:dyDescent="0.35">
      <c r="A330" t="s">
        <v>465</v>
      </c>
      <c r="B330" t="s">
        <v>59</v>
      </c>
      <c r="C330" t="s">
        <v>60</v>
      </c>
      <c r="D330" t="s">
        <v>55</v>
      </c>
      <c r="E330" t="s">
        <v>24</v>
      </c>
      <c r="F330">
        <v>4926</v>
      </c>
      <c r="G330">
        <v>4729</v>
      </c>
      <c r="H330" s="1">
        <v>46168</v>
      </c>
      <c r="I330" s="1">
        <v>46166</v>
      </c>
      <c r="J330">
        <v>285</v>
      </c>
      <c r="K330">
        <v>244</v>
      </c>
      <c r="L330">
        <f t="shared" si="25"/>
        <v>-2</v>
      </c>
      <c r="M330" s="6">
        <f t="shared" si="26"/>
        <v>1</v>
      </c>
      <c r="N330" s="6">
        <f t="shared" si="27"/>
        <v>0.9600081201786439</v>
      </c>
      <c r="O330" s="6">
        <f t="shared" si="28"/>
        <v>0.93973355889194332</v>
      </c>
      <c r="P330">
        <f t="shared" si="29"/>
        <v>1153876</v>
      </c>
      <c r="Q330" s="6">
        <f>MIN(Table1[Unit Price])/Table1[[#This Row],[Unit Price]]</f>
        <v>2.0491803278688523E-2</v>
      </c>
      <c r="R330" s="8">
        <f>IF(Table1[[#This Row],[Delivery Delay]]&gt;0,1,0)</f>
        <v>0</v>
      </c>
      <c r="S330" s="6">
        <f>(Table1[[#This Row],[OTD]]*0.4)+(Table1[[#This Row],[Quality Rate]]*0.3)+(Table1[[#This Row],[Fill Rate]]*0.2)+(Table1[[#This Row],[Cost Score]]*0.1)</f>
        <v>0.87597087203118051</v>
      </c>
      <c r="T330">
        <f>MAX(Table1[OTD])</f>
        <v>1</v>
      </c>
      <c r="U330" t="str">
        <f>IF(Table1[[#This Row],[Vendor Score]]&gt;=90%,"Excellent",IF(Table1[[#This Row],[Vendor Score]]&gt;=75%,"Moderate","Poor"))</f>
        <v>Moderate</v>
      </c>
    </row>
    <row r="331" spans="1:21" x14ac:dyDescent="0.35">
      <c r="A331" t="s">
        <v>335</v>
      </c>
      <c r="B331" t="s">
        <v>59</v>
      </c>
      <c r="C331" t="s">
        <v>60</v>
      </c>
      <c r="D331" t="s">
        <v>19</v>
      </c>
      <c r="E331" t="s">
        <v>20</v>
      </c>
      <c r="F331">
        <v>2696</v>
      </c>
      <c r="G331">
        <v>2575</v>
      </c>
      <c r="H331" s="1">
        <v>46222</v>
      </c>
      <c r="I331" s="1">
        <v>46220</v>
      </c>
      <c r="J331">
        <v>156</v>
      </c>
      <c r="K331">
        <v>185</v>
      </c>
      <c r="L331">
        <f t="shared" si="25"/>
        <v>-2</v>
      </c>
      <c r="M331" s="6">
        <f t="shared" si="26"/>
        <v>1</v>
      </c>
      <c r="N331" s="6">
        <f t="shared" si="27"/>
        <v>0.95511869436201779</v>
      </c>
      <c r="O331" s="6">
        <f t="shared" si="28"/>
        <v>0.93941747572815537</v>
      </c>
      <c r="P331">
        <f t="shared" si="29"/>
        <v>476375</v>
      </c>
      <c r="Q331" s="6">
        <f>MIN(Table1[Unit Price])/Table1[[#This Row],[Unit Price]]</f>
        <v>2.7027027027027029E-2</v>
      </c>
      <c r="R331" s="8">
        <f>IF(Table1[[#This Row],[Delivery Delay]]&gt;0,1,0)</f>
        <v>0</v>
      </c>
      <c r="S331" s="6">
        <f>(Table1[[#This Row],[OTD]]*0.4)+(Table1[[#This Row],[Quality Rate]]*0.3)+(Table1[[#This Row],[Fill Rate]]*0.2)+(Table1[[#This Row],[Cost Score]]*0.1)</f>
        <v>0.87555168429355279</v>
      </c>
      <c r="T331">
        <f>MAX(Table1[OTD])</f>
        <v>1</v>
      </c>
      <c r="U331" t="str">
        <f>IF(Table1[[#This Row],[Vendor Score]]&gt;=90%,"Excellent",IF(Table1[[#This Row],[Vendor Score]]&gt;=75%,"Moderate","Poor"))</f>
        <v>Moderate</v>
      </c>
    </row>
    <row r="332" spans="1:21" x14ac:dyDescent="0.35">
      <c r="A332" t="s">
        <v>219</v>
      </c>
      <c r="B332" t="s">
        <v>17</v>
      </c>
      <c r="C332" t="s">
        <v>18</v>
      </c>
      <c r="D332" t="s">
        <v>55</v>
      </c>
      <c r="E332" t="s">
        <v>40</v>
      </c>
      <c r="F332">
        <v>1150</v>
      </c>
      <c r="G332">
        <v>1074</v>
      </c>
      <c r="H332" s="1">
        <v>46258</v>
      </c>
      <c r="I332" s="1">
        <v>46258</v>
      </c>
      <c r="J332">
        <v>48</v>
      </c>
      <c r="K332">
        <v>246</v>
      </c>
      <c r="L332">
        <f t="shared" si="25"/>
        <v>0</v>
      </c>
      <c r="M332" s="6">
        <f t="shared" si="26"/>
        <v>1</v>
      </c>
      <c r="N332" s="6">
        <f t="shared" si="27"/>
        <v>0.93391304347826087</v>
      </c>
      <c r="O332" s="6">
        <f t="shared" si="28"/>
        <v>0.95530726256983245</v>
      </c>
      <c r="P332">
        <f t="shared" si="29"/>
        <v>264204</v>
      </c>
      <c r="Q332" s="6">
        <f>MIN(Table1[Unit Price])/Table1[[#This Row],[Unit Price]]</f>
        <v>2.032520325203252E-2</v>
      </c>
      <c r="R332" s="8">
        <f>IF(Table1[[#This Row],[Delivery Delay]]&gt;0,1,0)</f>
        <v>0</v>
      </c>
      <c r="S332" s="6">
        <f>(Table1[[#This Row],[OTD]]*0.4)+(Table1[[#This Row],[Quality Rate]]*0.3)+(Table1[[#This Row],[Fill Rate]]*0.2)+(Table1[[#This Row],[Cost Score]]*0.1)</f>
        <v>0.8754073077918052</v>
      </c>
      <c r="T332">
        <f>MAX(Table1[OTD])</f>
        <v>1</v>
      </c>
      <c r="U332" t="str">
        <f>IF(Table1[[#This Row],[Vendor Score]]&gt;=90%,"Excellent",IF(Table1[[#This Row],[Vendor Score]]&gt;=75%,"Moderate","Poor"))</f>
        <v>Moderate</v>
      </c>
    </row>
    <row r="333" spans="1:21" x14ac:dyDescent="0.35">
      <c r="A333" t="s">
        <v>194</v>
      </c>
      <c r="B333" t="s">
        <v>45</v>
      </c>
      <c r="C333" t="s">
        <v>46</v>
      </c>
      <c r="D333" t="s">
        <v>19</v>
      </c>
      <c r="E333" t="s">
        <v>20</v>
      </c>
      <c r="F333">
        <v>4153</v>
      </c>
      <c r="G333">
        <v>4103</v>
      </c>
      <c r="H333" s="1">
        <v>46204</v>
      </c>
      <c r="I333" s="1">
        <v>46202</v>
      </c>
      <c r="J333">
        <v>371</v>
      </c>
      <c r="K333">
        <v>103</v>
      </c>
      <c r="L333">
        <f t="shared" si="25"/>
        <v>-2</v>
      </c>
      <c r="M333" s="6">
        <f t="shared" si="26"/>
        <v>1</v>
      </c>
      <c r="N333" s="6">
        <f t="shared" si="27"/>
        <v>0.98796051047435585</v>
      </c>
      <c r="O333" s="6">
        <f t="shared" si="28"/>
        <v>0.90957835729953695</v>
      </c>
      <c r="P333">
        <f t="shared" si="29"/>
        <v>422609</v>
      </c>
      <c r="Q333" s="6">
        <f>MIN(Table1[Unit Price])/Table1[[#This Row],[Unit Price]]</f>
        <v>4.8543689320388349E-2</v>
      </c>
      <c r="R333" s="8">
        <f>IF(Table1[[#This Row],[Delivery Delay]]&gt;0,1,0)</f>
        <v>0</v>
      </c>
      <c r="S333" s="6">
        <f>(Table1[[#This Row],[OTD]]*0.4)+(Table1[[#This Row],[Quality Rate]]*0.3)+(Table1[[#This Row],[Fill Rate]]*0.2)+(Table1[[#This Row],[Cost Score]]*0.1)</f>
        <v>0.8753199782167711</v>
      </c>
      <c r="T333">
        <f>MAX(Table1[OTD])</f>
        <v>1</v>
      </c>
      <c r="U333" t="str">
        <f>IF(Table1[[#This Row],[Vendor Score]]&gt;=90%,"Excellent",IF(Table1[[#This Row],[Vendor Score]]&gt;=75%,"Moderate","Poor"))</f>
        <v>Moderate</v>
      </c>
    </row>
    <row r="334" spans="1:21" x14ac:dyDescent="0.35">
      <c r="A334" t="s">
        <v>498</v>
      </c>
      <c r="B334" t="s">
        <v>22</v>
      </c>
      <c r="C334" t="s">
        <v>23</v>
      </c>
      <c r="D334" t="s">
        <v>55</v>
      </c>
      <c r="E334" t="s">
        <v>63</v>
      </c>
      <c r="F334">
        <v>4626</v>
      </c>
      <c r="G334">
        <v>4452</v>
      </c>
      <c r="H334" s="1">
        <v>46078</v>
      </c>
      <c r="I334" s="1">
        <v>46077</v>
      </c>
      <c r="J334">
        <v>316</v>
      </c>
      <c r="K334">
        <v>121</v>
      </c>
      <c r="L334">
        <f t="shared" si="25"/>
        <v>-1</v>
      </c>
      <c r="M334" s="6">
        <f t="shared" si="26"/>
        <v>1</v>
      </c>
      <c r="N334" s="6">
        <f t="shared" si="27"/>
        <v>0.96238651102464334</v>
      </c>
      <c r="O334" s="6">
        <f t="shared" si="28"/>
        <v>0.92902066486972146</v>
      </c>
      <c r="P334">
        <f t="shared" si="29"/>
        <v>538692</v>
      </c>
      <c r="Q334" s="6">
        <f>MIN(Table1[Unit Price])/Table1[[#This Row],[Unit Price]]</f>
        <v>4.1322314049586778E-2</v>
      </c>
      <c r="R334" s="8">
        <f>IF(Table1[[#This Row],[Delivery Delay]]&gt;0,1,0)</f>
        <v>0</v>
      </c>
      <c r="S334" s="6">
        <f>(Table1[[#This Row],[OTD]]*0.4)+(Table1[[#This Row],[Quality Rate]]*0.3)+(Table1[[#This Row],[Fill Rate]]*0.2)+(Table1[[#This Row],[Cost Score]]*0.1)</f>
        <v>0.87531573307080379</v>
      </c>
      <c r="T334">
        <f>MAX(Table1[OTD])</f>
        <v>1</v>
      </c>
      <c r="U334" t="str">
        <f>IF(Table1[[#This Row],[Vendor Score]]&gt;=90%,"Excellent",IF(Table1[[#This Row],[Vendor Score]]&gt;=75%,"Moderate","Poor"))</f>
        <v>Moderate</v>
      </c>
    </row>
    <row r="335" spans="1:21" x14ac:dyDescent="0.35">
      <c r="A335" t="s">
        <v>433</v>
      </c>
      <c r="B335" t="s">
        <v>78</v>
      </c>
      <c r="C335" t="s">
        <v>79</v>
      </c>
      <c r="D335" t="s">
        <v>33</v>
      </c>
      <c r="E335" t="s">
        <v>52</v>
      </c>
      <c r="F335">
        <v>4795</v>
      </c>
      <c r="G335">
        <v>4451</v>
      </c>
      <c r="H335" s="1">
        <v>46092</v>
      </c>
      <c r="I335" s="1">
        <v>46090</v>
      </c>
      <c r="J335">
        <v>228</v>
      </c>
      <c r="K335">
        <v>101</v>
      </c>
      <c r="L335">
        <f t="shared" si="25"/>
        <v>-2</v>
      </c>
      <c r="M335" s="6">
        <f t="shared" si="26"/>
        <v>1</v>
      </c>
      <c r="N335" s="6">
        <f t="shared" si="27"/>
        <v>0.92825860271115745</v>
      </c>
      <c r="O335" s="6">
        <f t="shared" si="28"/>
        <v>0.94877555605481911</v>
      </c>
      <c r="P335">
        <f t="shared" si="29"/>
        <v>449551</v>
      </c>
      <c r="Q335" s="6">
        <f>MIN(Table1[Unit Price])/Table1[[#This Row],[Unit Price]]</f>
        <v>4.9504950495049507E-2</v>
      </c>
      <c r="R335" s="8">
        <f>IF(Table1[[#This Row],[Delivery Delay]]&gt;0,1,0)</f>
        <v>0</v>
      </c>
      <c r="S335" s="6">
        <f>(Table1[[#This Row],[OTD]]*0.4)+(Table1[[#This Row],[Quality Rate]]*0.3)+(Table1[[#This Row],[Fill Rate]]*0.2)+(Table1[[#This Row],[Cost Score]]*0.1)</f>
        <v>0.87523488240818215</v>
      </c>
      <c r="T335">
        <f>MAX(Table1[OTD])</f>
        <v>1</v>
      </c>
      <c r="U335" t="str">
        <f>IF(Table1[[#This Row],[Vendor Score]]&gt;=90%,"Excellent",IF(Table1[[#This Row],[Vendor Score]]&gt;=75%,"Moderate","Poor"))</f>
        <v>Moderate</v>
      </c>
    </row>
    <row r="336" spans="1:21" x14ac:dyDescent="0.35">
      <c r="A336" t="s">
        <v>458</v>
      </c>
      <c r="B336" t="s">
        <v>45</v>
      </c>
      <c r="C336" t="s">
        <v>46</v>
      </c>
      <c r="D336" t="s">
        <v>19</v>
      </c>
      <c r="E336" t="s">
        <v>47</v>
      </c>
      <c r="F336">
        <v>3749</v>
      </c>
      <c r="G336">
        <v>3690</v>
      </c>
      <c r="H336" s="1">
        <v>46350</v>
      </c>
      <c r="I336" s="1">
        <v>46348</v>
      </c>
      <c r="J336">
        <v>333</v>
      </c>
      <c r="K336">
        <v>92</v>
      </c>
      <c r="L336">
        <f t="shared" si="25"/>
        <v>-2</v>
      </c>
      <c r="M336" s="6">
        <f t="shared" si="26"/>
        <v>1</v>
      </c>
      <c r="N336" s="6">
        <f t="shared" si="27"/>
        <v>0.98426246999199785</v>
      </c>
      <c r="O336" s="6">
        <f t="shared" si="28"/>
        <v>0.90975609756097564</v>
      </c>
      <c r="P336">
        <f t="shared" si="29"/>
        <v>339480</v>
      </c>
      <c r="Q336" s="6">
        <f>MIN(Table1[Unit Price])/Table1[[#This Row],[Unit Price]]</f>
        <v>5.434782608695652E-2</v>
      </c>
      <c r="R336" s="8">
        <f>IF(Table1[[#This Row],[Delivery Delay]]&gt;0,1,0)</f>
        <v>0</v>
      </c>
      <c r="S336" s="6">
        <f>(Table1[[#This Row],[OTD]]*0.4)+(Table1[[#This Row],[Quality Rate]]*0.3)+(Table1[[#This Row],[Fill Rate]]*0.2)+(Table1[[#This Row],[Cost Score]]*0.1)</f>
        <v>0.87521410587538795</v>
      </c>
      <c r="T336">
        <f>MAX(Table1[OTD])</f>
        <v>1</v>
      </c>
      <c r="U336" t="str">
        <f>IF(Table1[[#This Row],[Vendor Score]]&gt;=90%,"Excellent",IF(Table1[[#This Row],[Vendor Score]]&gt;=75%,"Moderate","Poor"))</f>
        <v>Moderate</v>
      </c>
    </row>
    <row r="337" spans="1:21" x14ac:dyDescent="0.35">
      <c r="A337" t="s">
        <v>366</v>
      </c>
      <c r="B337" t="s">
        <v>17</v>
      </c>
      <c r="C337" t="s">
        <v>18</v>
      </c>
      <c r="D337" t="s">
        <v>14</v>
      </c>
      <c r="E337" t="s">
        <v>20</v>
      </c>
      <c r="F337">
        <v>210</v>
      </c>
      <c r="G337">
        <v>203</v>
      </c>
      <c r="H337" s="1">
        <v>46213</v>
      </c>
      <c r="I337" s="1">
        <v>46213</v>
      </c>
      <c r="J337">
        <v>14</v>
      </c>
      <c r="K337">
        <v>199</v>
      </c>
      <c r="L337">
        <f t="shared" si="25"/>
        <v>0</v>
      </c>
      <c r="M337" s="6">
        <f t="shared" si="26"/>
        <v>1</v>
      </c>
      <c r="N337" s="6">
        <f t="shared" si="27"/>
        <v>0.96666666666666667</v>
      </c>
      <c r="O337" s="6">
        <f t="shared" si="28"/>
        <v>0.93103448275862066</v>
      </c>
      <c r="P337">
        <f t="shared" si="29"/>
        <v>40397</v>
      </c>
      <c r="Q337" s="6">
        <f>MIN(Table1[Unit Price])/Table1[[#This Row],[Unit Price]]</f>
        <v>2.5125628140703519E-2</v>
      </c>
      <c r="R337" s="8">
        <f>IF(Table1[[#This Row],[Delivery Delay]]&gt;0,1,0)</f>
        <v>0</v>
      </c>
      <c r="S337" s="6">
        <f>(Table1[[#This Row],[OTD]]*0.4)+(Table1[[#This Row],[Quality Rate]]*0.3)+(Table1[[#This Row],[Fill Rate]]*0.2)+(Table1[[#This Row],[Cost Score]]*0.1)</f>
        <v>0.8751562409749899</v>
      </c>
      <c r="T337">
        <f>MAX(Table1[OTD])</f>
        <v>1</v>
      </c>
      <c r="U337" t="str">
        <f>IF(Table1[[#This Row],[Vendor Score]]&gt;=90%,"Excellent",IF(Table1[[#This Row],[Vendor Score]]&gt;=75%,"Moderate","Poor"))</f>
        <v>Moderate</v>
      </c>
    </row>
    <row r="338" spans="1:21" x14ac:dyDescent="0.35">
      <c r="A338" t="s">
        <v>428</v>
      </c>
      <c r="B338" t="s">
        <v>45</v>
      </c>
      <c r="C338" t="s">
        <v>46</v>
      </c>
      <c r="D338" t="s">
        <v>55</v>
      </c>
      <c r="E338" t="s">
        <v>34</v>
      </c>
      <c r="F338">
        <v>460</v>
      </c>
      <c r="G338">
        <v>460</v>
      </c>
      <c r="H338" s="1">
        <v>46203</v>
      </c>
      <c r="I338" s="1">
        <v>46202</v>
      </c>
      <c r="J338">
        <v>43</v>
      </c>
      <c r="K338">
        <v>158</v>
      </c>
      <c r="L338">
        <f t="shared" si="25"/>
        <v>-1</v>
      </c>
      <c r="M338" s="6">
        <f t="shared" si="26"/>
        <v>1</v>
      </c>
      <c r="N338" s="6">
        <f t="shared" si="27"/>
        <v>1</v>
      </c>
      <c r="O338" s="6">
        <f t="shared" si="28"/>
        <v>0.90652173913043477</v>
      </c>
      <c r="P338">
        <f t="shared" si="29"/>
        <v>72680</v>
      </c>
      <c r="Q338" s="6">
        <f>MIN(Table1[Unit Price])/Table1[[#This Row],[Unit Price]]</f>
        <v>3.1645569620253167E-2</v>
      </c>
      <c r="R338" s="8">
        <f>IF(Table1[[#This Row],[Delivery Delay]]&gt;0,1,0)</f>
        <v>0</v>
      </c>
      <c r="S338" s="6">
        <f>(Table1[[#This Row],[OTD]]*0.4)+(Table1[[#This Row],[Quality Rate]]*0.3)+(Table1[[#This Row],[Fill Rate]]*0.2)+(Table1[[#This Row],[Cost Score]]*0.1)</f>
        <v>0.87512107870115585</v>
      </c>
      <c r="T338">
        <f>MAX(Table1[OTD])</f>
        <v>1</v>
      </c>
      <c r="U338" t="str">
        <f>IF(Table1[[#This Row],[Vendor Score]]&gt;=90%,"Excellent",IF(Table1[[#This Row],[Vendor Score]]&gt;=75%,"Moderate","Poor"))</f>
        <v>Moderate</v>
      </c>
    </row>
    <row r="339" spans="1:21" x14ac:dyDescent="0.35">
      <c r="A339" t="s">
        <v>263</v>
      </c>
      <c r="B339" t="s">
        <v>22</v>
      </c>
      <c r="C339" t="s">
        <v>23</v>
      </c>
      <c r="D339" t="s">
        <v>19</v>
      </c>
      <c r="E339" t="s">
        <v>96</v>
      </c>
      <c r="F339">
        <v>975</v>
      </c>
      <c r="G339">
        <v>919</v>
      </c>
      <c r="H339" s="1">
        <v>46121</v>
      </c>
      <c r="I339" s="1">
        <v>46119</v>
      </c>
      <c r="J339">
        <v>65</v>
      </c>
      <c r="K339">
        <v>64</v>
      </c>
      <c r="L339">
        <f t="shared" si="25"/>
        <v>-2</v>
      </c>
      <c r="M339" s="6">
        <f t="shared" si="26"/>
        <v>1</v>
      </c>
      <c r="N339" s="6">
        <f t="shared" si="27"/>
        <v>0.94256410256410261</v>
      </c>
      <c r="O339" s="6">
        <f t="shared" si="28"/>
        <v>0.92927094668117516</v>
      </c>
      <c r="P339">
        <f t="shared" si="29"/>
        <v>58816</v>
      </c>
      <c r="Q339" s="6">
        <f>MIN(Table1[Unit Price])/Table1[[#This Row],[Unit Price]]</f>
        <v>7.8125E-2</v>
      </c>
      <c r="R339" s="8">
        <f>IF(Table1[[#This Row],[Delivery Delay]]&gt;0,1,0)</f>
        <v>0</v>
      </c>
      <c r="S339" s="6">
        <f>(Table1[[#This Row],[OTD]]*0.4)+(Table1[[#This Row],[Quality Rate]]*0.3)+(Table1[[#This Row],[Fill Rate]]*0.2)+(Table1[[#This Row],[Cost Score]]*0.1)</f>
        <v>0.87510660451717315</v>
      </c>
      <c r="T339">
        <f>MAX(Table1[OTD])</f>
        <v>1</v>
      </c>
      <c r="U339" t="str">
        <f>IF(Table1[[#This Row],[Vendor Score]]&gt;=90%,"Excellent",IF(Table1[[#This Row],[Vendor Score]]&gt;=75%,"Moderate","Poor"))</f>
        <v>Moderate</v>
      </c>
    </row>
    <row r="340" spans="1:21" x14ac:dyDescent="0.35">
      <c r="A340" t="s">
        <v>499</v>
      </c>
      <c r="B340" t="s">
        <v>78</v>
      </c>
      <c r="C340" t="s">
        <v>79</v>
      </c>
      <c r="D340" t="s">
        <v>33</v>
      </c>
      <c r="E340" t="s">
        <v>57</v>
      </c>
      <c r="F340">
        <v>4671</v>
      </c>
      <c r="G340">
        <v>4393</v>
      </c>
      <c r="H340" s="1">
        <v>46318</v>
      </c>
      <c r="I340" s="1">
        <v>46318</v>
      </c>
      <c r="J340">
        <v>223</v>
      </c>
      <c r="K340">
        <v>231</v>
      </c>
      <c r="L340">
        <f t="shared" si="25"/>
        <v>0</v>
      </c>
      <c r="M340" s="6">
        <f t="shared" si="26"/>
        <v>1</v>
      </c>
      <c r="N340" s="6">
        <f t="shared" si="27"/>
        <v>0.9404838364375937</v>
      </c>
      <c r="O340" s="6">
        <f t="shared" si="28"/>
        <v>0.94923742317323012</v>
      </c>
      <c r="P340">
        <f t="shared" si="29"/>
        <v>1014783</v>
      </c>
      <c r="Q340" s="6">
        <f>MIN(Table1[Unit Price])/Table1[[#This Row],[Unit Price]]</f>
        <v>2.1645021645021644E-2</v>
      </c>
      <c r="R340" s="8">
        <f>IF(Table1[[#This Row],[Delivery Delay]]&gt;0,1,0)</f>
        <v>0</v>
      </c>
      <c r="S340" s="6">
        <f>(Table1[[#This Row],[OTD]]*0.4)+(Table1[[#This Row],[Quality Rate]]*0.3)+(Table1[[#This Row],[Fill Rate]]*0.2)+(Table1[[#This Row],[Cost Score]]*0.1)</f>
        <v>0.87503249640398995</v>
      </c>
      <c r="T340">
        <f>MAX(Table1[OTD])</f>
        <v>1</v>
      </c>
      <c r="U340" t="str">
        <f>IF(Table1[[#This Row],[Vendor Score]]&gt;=90%,"Excellent",IF(Table1[[#This Row],[Vendor Score]]&gt;=75%,"Moderate","Poor"))</f>
        <v>Moderate</v>
      </c>
    </row>
    <row r="341" spans="1:21" x14ac:dyDescent="0.35">
      <c r="A341" t="s">
        <v>423</v>
      </c>
      <c r="B341" t="s">
        <v>45</v>
      </c>
      <c r="C341" t="s">
        <v>46</v>
      </c>
      <c r="D341" t="s">
        <v>55</v>
      </c>
      <c r="E341" t="s">
        <v>20</v>
      </c>
      <c r="F341">
        <v>4669</v>
      </c>
      <c r="G341">
        <v>4616</v>
      </c>
      <c r="H341" s="1">
        <v>46217</v>
      </c>
      <c r="I341" s="1">
        <v>46217</v>
      </c>
      <c r="J341">
        <v>416</v>
      </c>
      <c r="K341">
        <v>116</v>
      </c>
      <c r="L341">
        <f t="shared" si="25"/>
        <v>0</v>
      </c>
      <c r="M341" s="6">
        <f t="shared" si="26"/>
        <v>1</v>
      </c>
      <c r="N341" s="6">
        <f t="shared" si="27"/>
        <v>0.98864853287641896</v>
      </c>
      <c r="O341" s="6">
        <f t="shared" si="28"/>
        <v>0.90987868284228768</v>
      </c>
      <c r="P341">
        <f t="shared" si="29"/>
        <v>535456</v>
      </c>
      <c r="Q341" s="6">
        <f>MIN(Table1[Unit Price])/Table1[[#This Row],[Unit Price]]</f>
        <v>4.3103448275862072E-2</v>
      </c>
      <c r="R341" s="8">
        <f>IF(Table1[[#This Row],[Delivery Delay]]&gt;0,1,0)</f>
        <v>0</v>
      </c>
      <c r="S341" s="6">
        <f>(Table1[[#This Row],[OTD]]*0.4)+(Table1[[#This Row],[Quality Rate]]*0.3)+(Table1[[#This Row],[Fill Rate]]*0.2)+(Table1[[#This Row],[Cost Score]]*0.1)</f>
        <v>0.87500365625555632</v>
      </c>
      <c r="T341">
        <f>MAX(Table1[OTD])</f>
        <v>1</v>
      </c>
      <c r="U341" t="str">
        <f>IF(Table1[[#This Row],[Vendor Score]]&gt;=90%,"Excellent",IF(Table1[[#This Row],[Vendor Score]]&gt;=75%,"Moderate","Poor"))</f>
        <v>Moderate</v>
      </c>
    </row>
    <row r="342" spans="1:21" x14ac:dyDescent="0.35">
      <c r="A342" t="s">
        <v>153</v>
      </c>
      <c r="B342" t="s">
        <v>59</v>
      </c>
      <c r="C342" t="s">
        <v>60</v>
      </c>
      <c r="D342" t="s">
        <v>55</v>
      </c>
      <c r="E342" t="s">
        <v>96</v>
      </c>
      <c r="F342">
        <v>834</v>
      </c>
      <c r="G342">
        <v>793</v>
      </c>
      <c r="H342" s="1">
        <v>46132</v>
      </c>
      <c r="I342" s="1">
        <v>46131</v>
      </c>
      <c r="J342">
        <v>48</v>
      </c>
      <c r="K342">
        <v>170</v>
      </c>
      <c r="L342">
        <f t="shared" si="25"/>
        <v>-1</v>
      </c>
      <c r="M342" s="6">
        <f t="shared" si="26"/>
        <v>1</v>
      </c>
      <c r="N342" s="6">
        <f t="shared" si="27"/>
        <v>0.95083932853717024</v>
      </c>
      <c r="O342" s="6">
        <f t="shared" si="28"/>
        <v>0.93947036569987386</v>
      </c>
      <c r="P342">
        <f t="shared" si="29"/>
        <v>134810</v>
      </c>
      <c r="Q342" s="6">
        <f>MIN(Table1[Unit Price])/Table1[[#This Row],[Unit Price]]</f>
        <v>2.9411764705882353E-2</v>
      </c>
      <c r="R342" s="8">
        <f>IF(Table1[[#This Row],[Delivery Delay]]&gt;0,1,0)</f>
        <v>0</v>
      </c>
      <c r="S342" s="6">
        <f>(Table1[[#This Row],[OTD]]*0.4)+(Table1[[#This Row],[Quality Rate]]*0.3)+(Table1[[#This Row],[Fill Rate]]*0.2)+(Table1[[#This Row],[Cost Score]]*0.1)</f>
        <v>0.87495015188798442</v>
      </c>
      <c r="T342">
        <f>MAX(Table1[OTD])</f>
        <v>1</v>
      </c>
      <c r="U342" t="str">
        <f>IF(Table1[[#This Row],[Vendor Score]]&gt;=90%,"Excellent",IF(Table1[[#This Row],[Vendor Score]]&gt;=75%,"Moderate","Poor"))</f>
        <v>Moderate</v>
      </c>
    </row>
    <row r="343" spans="1:21" x14ac:dyDescent="0.35">
      <c r="A343" t="s">
        <v>527</v>
      </c>
      <c r="B343" t="s">
        <v>22</v>
      </c>
      <c r="C343" t="s">
        <v>23</v>
      </c>
      <c r="D343" t="s">
        <v>14</v>
      </c>
      <c r="E343" t="s">
        <v>63</v>
      </c>
      <c r="F343">
        <v>3167</v>
      </c>
      <c r="G343">
        <v>3030</v>
      </c>
      <c r="H343" s="1">
        <v>46068</v>
      </c>
      <c r="I343" s="1">
        <v>46067</v>
      </c>
      <c r="J343">
        <v>215</v>
      </c>
      <c r="K343">
        <v>105</v>
      </c>
      <c r="L343">
        <f t="shared" si="25"/>
        <v>-1</v>
      </c>
      <c r="M343" s="6">
        <f t="shared" si="26"/>
        <v>1</v>
      </c>
      <c r="N343" s="6">
        <f t="shared" si="27"/>
        <v>0.95674139564256389</v>
      </c>
      <c r="O343" s="6">
        <f t="shared" si="28"/>
        <v>0.92904290429042902</v>
      </c>
      <c r="P343">
        <f t="shared" si="29"/>
        <v>318150</v>
      </c>
      <c r="Q343" s="6">
        <f>MIN(Table1[Unit Price])/Table1[[#This Row],[Unit Price]]</f>
        <v>4.7619047619047616E-2</v>
      </c>
      <c r="R343" s="8">
        <f>IF(Table1[[#This Row],[Delivery Delay]]&gt;0,1,0)</f>
        <v>0</v>
      </c>
      <c r="S343" s="6">
        <f>(Table1[[#This Row],[OTD]]*0.4)+(Table1[[#This Row],[Quality Rate]]*0.3)+(Table1[[#This Row],[Fill Rate]]*0.2)+(Table1[[#This Row],[Cost Score]]*0.1)</f>
        <v>0.87482305517754622</v>
      </c>
      <c r="T343">
        <f>MAX(Table1[OTD])</f>
        <v>1</v>
      </c>
      <c r="U343" t="str">
        <f>IF(Table1[[#This Row],[Vendor Score]]&gt;=90%,"Excellent",IF(Table1[[#This Row],[Vendor Score]]&gt;=75%,"Moderate","Poor"))</f>
        <v>Moderate</v>
      </c>
    </row>
    <row r="344" spans="1:21" x14ac:dyDescent="0.35">
      <c r="A344" t="s">
        <v>214</v>
      </c>
      <c r="B344" t="s">
        <v>59</v>
      </c>
      <c r="C344" t="s">
        <v>60</v>
      </c>
      <c r="D344" t="s">
        <v>33</v>
      </c>
      <c r="E344" t="s">
        <v>70</v>
      </c>
      <c r="F344">
        <v>1153</v>
      </c>
      <c r="G344">
        <v>1103</v>
      </c>
      <c r="H344" s="1">
        <v>46042</v>
      </c>
      <c r="I344" s="1">
        <v>46040</v>
      </c>
      <c r="J344">
        <v>70</v>
      </c>
      <c r="K344">
        <v>205</v>
      </c>
      <c r="L344">
        <f t="shared" si="25"/>
        <v>-2</v>
      </c>
      <c r="M344" s="6">
        <f t="shared" si="26"/>
        <v>1</v>
      </c>
      <c r="N344" s="6">
        <f t="shared" si="27"/>
        <v>0.9566348655680833</v>
      </c>
      <c r="O344" s="6">
        <f t="shared" si="28"/>
        <v>0.93653671804170446</v>
      </c>
      <c r="P344">
        <f t="shared" si="29"/>
        <v>226115</v>
      </c>
      <c r="Q344" s="6">
        <f>MIN(Table1[Unit Price])/Table1[[#This Row],[Unit Price]]</f>
        <v>2.4390243902439025E-2</v>
      </c>
      <c r="R344" s="8">
        <f>IF(Table1[[#This Row],[Delivery Delay]]&gt;0,1,0)</f>
        <v>0</v>
      </c>
      <c r="S344" s="6">
        <f>(Table1[[#This Row],[OTD]]*0.4)+(Table1[[#This Row],[Quality Rate]]*0.3)+(Table1[[#This Row],[Fill Rate]]*0.2)+(Table1[[#This Row],[Cost Score]]*0.1)</f>
        <v>0.874727012916372</v>
      </c>
      <c r="T344">
        <f>MAX(Table1[OTD])</f>
        <v>1</v>
      </c>
      <c r="U344" t="str">
        <f>IF(Table1[[#This Row],[Vendor Score]]&gt;=90%,"Excellent",IF(Table1[[#This Row],[Vendor Score]]&gt;=75%,"Moderate","Poor"))</f>
        <v>Moderate</v>
      </c>
    </row>
    <row r="345" spans="1:21" x14ac:dyDescent="0.35">
      <c r="A345" t="s">
        <v>298</v>
      </c>
      <c r="B345" t="s">
        <v>22</v>
      </c>
      <c r="C345" t="s">
        <v>23</v>
      </c>
      <c r="D345" t="s">
        <v>55</v>
      </c>
      <c r="E345" t="s">
        <v>57</v>
      </c>
      <c r="F345">
        <v>444</v>
      </c>
      <c r="G345">
        <v>414</v>
      </c>
      <c r="H345" s="1">
        <v>46315</v>
      </c>
      <c r="I345" s="1">
        <v>46313</v>
      </c>
      <c r="J345">
        <v>30</v>
      </c>
      <c r="K345">
        <v>51</v>
      </c>
      <c r="L345">
        <f t="shared" si="25"/>
        <v>-2</v>
      </c>
      <c r="M345" s="6">
        <f t="shared" si="26"/>
        <v>1</v>
      </c>
      <c r="N345" s="6">
        <f t="shared" si="27"/>
        <v>0.93243243243243246</v>
      </c>
      <c r="O345" s="6">
        <f t="shared" si="28"/>
        <v>0.92753623188405798</v>
      </c>
      <c r="P345">
        <f t="shared" si="29"/>
        <v>21114</v>
      </c>
      <c r="Q345" s="6">
        <f>MIN(Table1[Unit Price])/Table1[[#This Row],[Unit Price]]</f>
        <v>9.8039215686274508E-2</v>
      </c>
      <c r="R345" s="8">
        <f>IF(Table1[[#This Row],[Delivery Delay]]&gt;0,1,0)</f>
        <v>0</v>
      </c>
      <c r="S345" s="6">
        <f>(Table1[[#This Row],[OTD]]*0.4)+(Table1[[#This Row],[Quality Rate]]*0.3)+(Table1[[#This Row],[Fill Rate]]*0.2)+(Table1[[#This Row],[Cost Score]]*0.1)</f>
        <v>0.87455127762033136</v>
      </c>
      <c r="T345">
        <f>MAX(Table1[OTD])</f>
        <v>1</v>
      </c>
      <c r="U345" t="str">
        <f>IF(Table1[[#This Row],[Vendor Score]]&gt;=90%,"Excellent",IF(Table1[[#This Row],[Vendor Score]]&gt;=75%,"Moderate","Poor"))</f>
        <v>Moderate</v>
      </c>
    </row>
    <row r="346" spans="1:21" x14ac:dyDescent="0.35">
      <c r="A346" t="s">
        <v>416</v>
      </c>
      <c r="B346" t="s">
        <v>45</v>
      </c>
      <c r="C346" t="s">
        <v>46</v>
      </c>
      <c r="D346" t="s">
        <v>55</v>
      </c>
      <c r="E346" t="s">
        <v>20</v>
      </c>
      <c r="F346">
        <v>4501</v>
      </c>
      <c r="G346">
        <v>4466</v>
      </c>
      <c r="H346" s="1">
        <v>46220</v>
      </c>
      <c r="I346" s="1">
        <v>46219</v>
      </c>
      <c r="J346">
        <v>405</v>
      </c>
      <c r="K346">
        <v>166</v>
      </c>
      <c r="L346">
        <f t="shared" si="25"/>
        <v>-1</v>
      </c>
      <c r="M346" s="6">
        <f t="shared" si="26"/>
        <v>1</v>
      </c>
      <c r="N346" s="6">
        <f t="shared" si="27"/>
        <v>0.99222395023328147</v>
      </c>
      <c r="O346" s="6">
        <f t="shared" si="28"/>
        <v>0.90931482310792655</v>
      </c>
      <c r="P346">
        <f t="shared" si="29"/>
        <v>741356</v>
      </c>
      <c r="Q346" s="6">
        <f>MIN(Table1[Unit Price])/Table1[[#This Row],[Unit Price]]</f>
        <v>3.0120481927710843E-2</v>
      </c>
      <c r="R346" s="8">
        <f>IF(Table1[[#This Row],[Delivery Delay]]&gt;0,1,0)</f>
        <v>0</v>
      </c>
      <c r="S346" s="6">
        <f>(Table1[[#This Row],[OTD]]*0.4)+(Table1[[#This Row],[Quality Rate]]*0.3)+(Table1[[#This Row],[Fill Rate]]*0.2)+(Table1[[#This Row],[Cost Score]]*0.1)</f>
        <v>0.87425128517180539</v>
      </c>
      <c r="T346">
        <f>MAX(Table1[OTD])</f>
        <v>1</v>
      </c>
      <c r="U346" t="str">
        <f>IF(Table1[[#This Row],[Vendor Score]]&gt;=90%,"Excellent",IF(Table1[[#This Row],[Vendor Score]]&gt;=75%,"Moderate","Poor"))</f>
        <v>Moderate</v>
      </c>
    </row>
    <row r="347" spans="1:21" x14ac:dyDescent="0.35">
      <c r="A347" t="s">
        <v>374</v>
      </c>
      <c r="B347" t="s">
        <v>45</v>
      </c>
      <c r="C347" t="s">
        <v>46</v>
      </c>
      <c r="D347" t="s">
        <v>55</v>
      </c>
      <c r="E347" t="s">
        <v>20</v>
      </c>
      <c r="F347">
        <v>907</v>
      </c>
      <c r="G347">
        <v>906</v>
      </c>
      <c r="H347" s="1">
        <v>46226</v>
      </c>
      <c r="I347" s="1">
        <v>46225</v>
      </c>
      <c r="J347">
        <v>86</v>
      </c>
      <c r="K347">
        <v>177</v>
      </c>
      <c r="L347">
        <f t="shared" si="25"/>
        <v>-1</v>
      </c>
      <c r="M347" s="6">
        <f t="shared" si="26"/>
        <v>1</v>
      </c>
      <c r="N347" s="6">
        <f t="shared" si="27"/>
        <v>0.9988974641675854</v>
      </c>
      <c r="O347" s="6">
        <f t="shared" si="28"/>
        <v>0.90507726269315669</v>
      </c>
      <c r="P347">
        <f t="shared" si="29"/>
        <v>160362</v>
      </c>
      <c r="Q347" s="6">
        <f>MIN(Table1[Unit Price])/Table1[[#This Row],[Unit Price]]</f>
        <v>2.8248587570621469E-2</v>
      </c>
      <c r="R347" s="8">
        <f>IF(Table1[[#This Row],[Delivery Delay]]&gt;0,1,0)</f>
        <v>0</v>
      </c>
      <c r="S347" s="6">
        <f>(Table1[[#This Row],[OTD]]*0.4)+(Table1[[#This Row],[Quality Rate]]*0.3)+(Table1[[#This Row],[Fill Rate]]*0.2)+(Table1[[#This Row],[Cost Score]]*0.1)</f>
        <v>0.8741275303985262</v>
      </c>
      <c r="T347">
        <f>MAX(Table1[OTD])</f>
        <v>1</v>
      </c>
      <c r="U347" t="str">
        <f>IF(Table1[[#This Row],[Vendor Score]]&gt;=90%,"Excellent",IF(Table1[[#This Row],[Vendor Score]]&gt;=75%,"Moderate","Poor"))</f>
        <v>Moderate</v>
      </c>
    </row>
    <row r="348" spans="1:21" x14ac:dyDescent="0.35">
      <c r="A348" t="s">
        <v>520</v>
      </c>
      <c r="B348" t="s">
        <v>22</v>
      </c>
      <c r="C348" t="s">
        <v>23</v>
      </c>
      <c r="D348" t="s">
        <v>33</v>
      </c>
      <c r="E348" t="s">
        <v>70</v>
      </c>
      <c r="F348">
        <v>655</v>
      </c>
      <c r="G348">
        <v>634</v>
      </c>
      <c r="H348" s="1">
        <v>46027</v>
      </c>
      <c r="I348" s="1">
        <v>46025</v>
      </c>
      <c r="J348">
        <v>48</v>
      </c>
      <c r="K348">
        <v>159</v>
      </c>
      <c r="L348">
        <f t="shared" si="25"/>
        <v>-2</v>
      </c>
      <c r="M348" s="6">
        <f t="shared" si="26"/>
        <v>1</v>
      </c>
      <c r="N348" s="6">
        <f t="shared" si="27"/>
        <v>0.96793893129770991</v>
      </c>
      <c r="O348" s="6">
        <f t="shared" si="28"/>
        <v>0.9242902208201893</v>
      </c>
      <c r="P348">
        <f t="shared" si="29"/>
        <v>100806</v>
      </c>
      <c r="Q348" s="6">
        <f>MIN(Table1[Unit Price])/Table1[[#This Row],[Unit Price]]</f>
        <v>3.1446540880503145E-2</v>
      </c>
      <c r="R348" s="8">
        <f>IF(Table1[[#This Row],[Delivery Delay]]&gt;0,1,0)</f>
        <v>0</v>
      </c>
      <c r="S348" s="6">
        <f>(Table1[[#This Row],[OTD]]*0.4)+(Table1[[#This Row],[Quality Rate]]*0.3)+(Table1[[#This Row],[Fill Rate]]*0.2)+(Table1[[#This Row],[Cost Score]]*0.1)</f>
        <v>0.87401950659364913</v>
      </c>
      <c r="T348">
        <f>MAX(Table1[OTD])</f>
        <v>1</v>
      </c>
      <c r="U348" t="str">
        <f>IF(Table1[[#This Row],[Vendor Score]]&gt;=90%,"Excellent",IF(Table1[[#This Row],[Vendor Score]]&gt;=75%,"Moderate","Poor"))</f>
        <v>Moderate</v>
      </c>
    </row>
    <row r="349" spans="1:21" x14ac:dyDescent="0.35">
      <c r="A349" t="s">
        <v>344</v>
      </c>
      <c r="B349" t="s">
        <v>59</v>
      </c>
      <c r="C349" t="s">
        <v>60</v>
      </c>
      <c r="D349" t="s">
        <v>55</v>
      </c>
      <c r="E349" t="s">
        <v>57</v>
      </c>
      <c r="F349">
        <v>2951</v>
      </c>
      <c r="G349">
        <v>2759</v>
      </c>
      <c r="H349" s="1">
        <v>46310</v>
      </c>
      <c r="I349" s="1">
        <v>46308</v>
      </c>
      <c r="J349">
        <v>167</v>
      </c>
      <c r="K349">
        <v>97</v>
      </c>
      <c r="L349">
        <f t="shared" si="25"/>
        <v>-2</v>
      </c>
      <c r="M349" s="6">
        <f t="shared" si="26"/>
        <v>1</v>
      </c>
      <c r="N349" s="6">
        <f t="shared" si="27"/>
        <v>0.93493730938664854</v>
      </c>
      <c r="O349" s="6">
        <f t="shared" si="28"/>
        <v>0.93947082276187022</v>
      </c>
      <c r="P349">
        <f t="shared" si="29"/>
        <v>267623</v>
      </c>
      <c r="Q349" s="6">
        <f>MIN(Table1[Unit Price])/Table1[[#This Row],[Unit Price]]</f>
        <v>5.1546391752577317E-2</v>
      </c>
      <c r="R349" s="8">
        <f>IF(Table1[[#This Row],[Delivery Delay]]&gt;0,1,0)</f>
        <v>0</v>
      </c>
      <c r="S349" s="6">
        <f>(Table1[[#This Row],[OTD]]*0.4)+(Table1[[#This Row],[Quality Rate]]*0.3)+(Table1[[#This Row],[Fill Rate]]*0.2)+(Table1[[#This Row],[Cost Score]]*0.1)</f>
        <v>0.87398334788114851</v>
      </c>
      <c r="T349">
        <f>MAX(Table1[OTD])</f>
        <v>1</v>
      </c>
      <c r="U349" t="str">
        <f>IF(Table1[[#This Row],[Vendor Score]]&gt;=90%,"Excellent",IF(Table1[[#This Row],[Vendor Score]]&gt;=75%,"Moderate","Poor"))</f>
        <v>Moderate</v>
      </c>
    </row>
    <row r="350" spans="1:21" x14ac:dyDescent="0.35">
      <c r="A350" t="s">
        <v>478</v>
      </c>
      <c r="B350" t="s">
        <v>45</v>
      </c>
      <c r="C350" t="s">
        <v>46</v>
      </c>
      <c r="D350" t="s">
        <v>14</v>
      </c>
      <c r="E350" t="s">
        <v>57</v>
      </c>
      <c r="F350">
        <v>4106</v>
      </c>
      <c r="G350">
        <v>4073</v>
      </c>
      <c r="H350" s="1">
        <v>46303</v>
      </c>
      <c r="I350" s="1">
        <v>46301</v>
      </c>
      <c r="J350">
        <v>372</v>
      </c>
      <c r="K350">
        <v>172</v>
      </c>
      <c r="L350">
        <f t="shared" si="25"/>
        <v>-2</v>
      </c>
      <c r="M350" s="6">
        <f t="shared" si="26"/>
        <v>1</v>
      </c>
      <c r="N350" s="6">
        <f t="shared" si="27"/>
        <v>0.99196298100340963</v>
      </c>
      <c r="O350" s="6">
        <f t="shared" si="28"/>
        <v>0.90866683034618223</v>
      </c>
      <c r="P350">
        <f t="shared" si="29"/>
        <v>700556</v>
      </c>
      <c r="Q350" s="6">
        <f>MIN(Table1[Unit Price])/Table1[[#This Row],[Unit Price]]</f>
        <v>2.9069767441860465E-2</v>
      </c>
      <c r="R350" s="8">
        <f>IF(Table1[[#This Row],[Delivery Delay]]&gt;0,1,0)</f>
        <v>0</v>
      </c>
      <c r="S350" s="6">
        <f>(Table1[[#This Row],[OTD]]*0.4)+(Table1[[#This Row],[Quality Rate]]*0.3)+(Table1[[#This Row],[Fill Rate]]*0.2)+(Table1[[#This Row],[Cost Score]]*0.1)</f>
        <v>0.87389962204872262</v>
      </c>
      <c r="T350">
        <f>MAX(Table1[OTD])</f>
        <v>1</v>
      </c>
      <c r="U350" t="str">
        <f>IF(Table1[[#This Row],[Vendor Score]]&gt;=90%,"Excellent",IF(Table1[[#This Row],[Vendor Score]]&gt;=75%,"Moderate","Poor"))</f>
        <v>Moderate</v>
      </c>
    </row>
    <row r="351" spans="1:21" x14ac:dyDescent="0.35">
      <c r="A351" t="s">
        <v>515</v>
      </c>
      <c r="B351" t="s">
        <v>22</v>
      </c>
      <c r="C351" t="s">
        <v>23</v>
      </c>
      <c r="D351" t="s">
        <v>14</v>
      </c>
      <c r="E351" t="s">
        <v>52</v>
      </c>
      <c r="F351">
        <v>491</v>
      </c>
      <c r="G351">
        <v>480</v>
      </c>
      <c r="H351" s="1">
        <v>46088</v>
      </c>
      <c r="I351" s="1">
        <v>46088</v>
      </c>
      <c r="J351">
        <v>38</v>
      </c>
      <c r="K351">
        <v>240</v>
      </c>
      <c r="L351">
        <f t="shared" si="25"/>
        <v>0</v>
      </c>
      <c r="M351" s="6">
        <f t="shared" si="26"/>
        <v>1</v>
      </c>
      <c r="N351" s="6">
        <f t="shared" si="27"/>
        <v>0.9775967413441955</v>
      </c>
      <c r="O351" s="6">
        <f t="shared" si="28"/>
        <v>0.92083333333333328</v>
      </c>
      <c r="P351">
        <f t="shared" si="29"/>
        <v>115200</v>
      </c>
      <c r="Q351" s="6">
        <f>MIN(Table1[Unit Price])/Table1[[#This Row],[Unit Price]]</f>
        <v>2.0833333333333332E-2</v>
      </c>
      <c r="R351" s="8">
        <f>IF(Table1[[#This Row],[Delivery Delay]]&gt;0,1,0)</f>
        <v>0</v>
      </c>
      <c r="S351" s="6">
        <f>(Table1[[#This Row],[OTD]]*0.4)+(Table1[[#This Row],[Quality Rate]]*0.3)+(Table1[[#This Row],[Fill Rate]]*0.2)+(Table1[[#This Row],[Cost Score]]*0.1)</f>
        <v>0.87385268160217244</v>
      </c>
      <c r="T351">
        <f>MAX(Table1[OTD])</f>
        <v>1</v>
      </c>
      <c r="U351" t="str">
        <f>IF(Table1[[#This Row],[Vendor Score]]&gt;=90%,"Excellent",IF(Table1[[#This Row],[Vendor Score]]&gt;=75%,"Moderate","Poor"))</f>
        <v>Moderate</v>
      </c>
    </row>
    <row r="352" spans="1:21" x14ac:dyDescent="0.35">
      <c r="A352" t="s">
        <v>228</v>
      </c>
      <c r="B352" t="s">
        <v>22</v>
      </c>
      <c r="C352" t="s">
        <v>23</v>
      </c>
      <c r="D352" t="s">
        <v>19</v>
      </c>
      <c r="E352" t="s">
        <v>24</v>
      </c>
      <c r="F352">
        <v>456</v>
      </c>
      <c r="G352">
        <v>434</v>
      </c>
      <c r="H352" s="1">
        <v>46165</v>
      </c>
      <c r="I352" s="1">
        <v>46164</v>
      </c>
      <c r="J352">
        <v>32</v>
      </c>
      <c r="K352">
        <v>89</v>
      </c>
      <c r="L352">
        <f t="shared" si="25"/>
        <v>-1</v>
      </c>
      <c r="M352" s="6">
        <f t="shared" si="26"/>
        <v>1</v>
      </c>
      <c r="N352" s="6">
        <f t="shared" si="27"/>
        <v>0.95175438596491224</v>
      </c>
      <c r="O352" s="6">
        <f t="shared" si="28"/>
        <v>0.92626728110599077</v>
      </c>
      <c r="P352">
        <f t="shared" si="29"/>
        <v>38626</v>
      </c>
      <c r="Q352" s="6">
        <f>MIN(Table1[Unit Price])/Table1[[#This Row],[Unit Price]]</f>
        <v>5.6179775280898875E-2</v>
      </c>
      <c r="R352" s="8">
        <f>IF(Table1[[#This Row],[Delivery Delay]]&gt;0,1,0)</f>
        <v>0</v>
      </c>
      <c r="S352" s="6">
        <f>(Table1[[#This Row],[OTD]]*0.4)+(Table1[[#This Row],[Quality Rate]]*0.3)+(Table1[[#This Row],[Fill Rate]]*0.2)+(Table1[[#This Row],[Cost Score]]*0.1)</f>
        <v>0.87384903905286959</v>
      </c>
      <c r="T352">
        <f>MAX(Table1[OTD])</f>
        <v>1</v>
      </c>
      <c r="U352" t="str">
        <f>IF(Table1[[#This Row],[Vendor Score]]&gt;=90%,"Excellent",IF(Table1[[#This Row],[Vendor Score]]&gt;=75%,"Moderate","Poor"))</f>
        <v>Moderate</v>
      </c>
    </row>
    <row r="353" spans="1:21" x14ac:dyDescent="0.35">
      <c r="A353" t="s">
        <v>202</v>
      </c>
      <c r="B353" t="s">
        <v>22</v>
      </c>
      <c r="C353" t="s">
        <v>23</v>
      </c>
      <c r="D353" t="s">
        <v>14</v>
      </c>
      <c r="E353" t="s">
        <v>15</v>
      </c>
      <c r="F353">
        <v>1366</v>
      </c>
      <c r="G353">
        <v>1301</v>
      </c>
      <c r="H353" s="1">
        <v>46387</v>
      </c>
      <c r="I353" s="1">
        <v>46387</v>
      </c>
      <c r="J353">
        <v>93</v>
      </c>
      <c r="K353">
        <v>104</v>
      </c>
      <c r="L353">
        <f t="shared" si="25"/>
        <v>0</v>
      </c>
      <c r="M353" s="6">
        <f t="shared" si="26"/>
        <v>1</v>
      </c>
      <c r="N353" s="6">
        <f t="shared" si="27"/>
        <v>0.95241581259150809</v>
      </c>
      <c r="O353" s="6">
        <f t="shared" si="28"/>
        <v>0.92851652574942356</v>
      </c>
      <c r="P353">
        <f t="shared" si="29"/>
        <v>135304</v>
      </c>
      <c r="Q353" s="6">
        <f>MIN(Table1[Unit Price])/Table1[[#This Row],[Unit Price]]</f>
        <v>4.807692307692308E-2</v>
      </c>
      <c r="R353" s="8">
        <f>IF(Table1[[#This Row],[Delivery Delay]]&gt;0,1,0)</f>
        <v>0</v>
      </c>
      <c r="S353" s="6">
        <f>(Table1[[#This Row],[OTD]]*0.4)+(Table1[[#This Row],[Quality Rate]]*0.3)+(Table1[[#This Row],[Fill Rate]]*0.2)+(Table1[[#This Row],[Cost Score]]*0.1)</f>
        <v>0.87384581255082105</v>
      </c>
      <c r="T353">
        <f>MAX(Table1[OTD])</f>
        <v>1</v>
      </c>
      <c r="U353" t="str">
        <f>IF(Table1[[#This Row],[Vendor Score]]&gt;=90%,"Excellent",IF(Table1[[#This Row],[Vendor Score]]&gt;=75%,"Moderate","Poor"))</f>
        <v>Moderate</v>
      </c>
    </row>
    <row r="354" spans="1:21" x14ac:dyDescent="0.35">
      <c r="A354" t="s">
        <v>262</v>
      </c>
      <c r="B354" t="s">
        <v>59</v>
      </c>
      <c r="C354" t="s">
        <v>60</v>
      </c>
      <c r="D354" t="s">
        <v>14</v>
      </c>
      <c r="E354" t="s">
        <v>24</v>
      </c>
      <c r="F354">
        <v>618</v>
      </c>
      <c r="G354">
        <v>589</v>
      </c>
      <c r="H354" s="1">
        <v>46162</v>
      </c>
      <c r="I354" s="1">
        <v>46160</v>
      </c>
      <c r="J354">
        <v>38</v>
      </c>
      <c r="K354">
        <v>201</v>
      </c>
      <c r="L354">
        <f t="shared" si="25"/>
        <v>-2</v>
      </c>
      <c r="M354" s="6">
        <f t="shared" si="26"/>
        <v>1</v>
      </c>
      <c r="N354" s="6">
        <f t="shared" si="27"/>
        <v>0.95307443365695788</v>
      </c>
      <c r="O354" s="6">
        <f t="shared" si="28"/>
        <v>0.93548387096774188</v>
      </c>
      <c r="P354">
        <f t="shared" si="29"/>
        <v>118389</v>
      </c>
      <c r="Q354" s="6">
        <f>MIN(Table1[Unit Price])/Table1[[#This Row],[Unit Price]]</f>
        <v>2.4875621890547265E-2</v>
      </c>
      <c r="R354" s="8">
        <f>IF(Table1[[#This Row],[Delivery Delay]]&gt;0,1,0)</f>
        <v>0</v>
      </c>
      <c r="S354" s="6">
        <f>(Table1[[#This Row],[OTD]]*0.4)+(Table1[[#This Row],[Quality Rate]]*0.3)+(Table1[[#This Row],[Fill Rate]]*0.2)+(Table1[[#This Row],[Cost Score]]*0.1)</f>
        <v>0.87374761021076897</v>
      </c>
      <c r="T354">
        <f>MAX(Table1[OTD])</f>
        <v>1</v>
      </c>
      <c r="U354" t="str">
        <f>IF(Table1[[#This Row],[Vendor Score]]&gt;=90%,"Excellent",IF(Table1[[#This Row],[Vendor Score]]&gt;=75%,"Moderate","Poor"))</f>
        <v>Moderate</v>
      </c>
    </row>
    <row r="355" spans="1:21" x14ac:dyDescent="0.35">
      <c r="A355" t="s">
        <v>180</v>
      </c>
      <c r="B355" t="s">
        <v>45</v>
      </c>
      <c r="C355" t="s">
        <v>46</v>
      </c>
      <c r="D355" t="s">
        <v>19</v>
      </c>
      <c r="E355" t="s">
        <v>57</v>
      </c>
      <c r="F355">
        <v>610</v>
      </c>
      <c r="G355">
        <v>562</v>
      </c>
      <c r="H355" s="1">
        <v>46323</v>
      </c>
      <c r="I355" s="1">
        <v>46323</v>
      </c>
      <c r="J355">
        <v>52</v>
      </c>
      <c r="K355">
        <v>29</v>
      </c>
      <c r="L355">
        <f t="shared" si="25"/>
        <v>0</v>
      </c>
      <c r="M355" s="6">
        <f t="shared" si="26"/>
        <v>1</v>
      </c>
      <c r="N355" s="6">
        <f t="shared" si="27"/>
        <v>0.92131147540983604</v>
      </c>
      <c r="O355" s="6">
        <f t="shared" si="28"/>
        <v>0.90747330960854089</v>
      </c>
      <c r="P355">
        <f t="shared" si="29"/>
        <v>16298</v>
      </c>
      <c r="Q355" s="6">
        <f>MIN(Table1[Unit Price])/Table1[[#This Row],[Unit Price]]</f>
        <v>0.17241379310344829</v>
      </c>
      <c r="R355" s="8">
        <f>IF(Table1[[#This Row],[Delivery Delay]]&gt;0,1,0)</f>
        <v>0</v>
      </c>
      <c r="S355" s="6">
        <f>(Table1[[#This Row],[OTD]]*0.4)+(Table1[[#This Row],[Quality Rate]]*0.3)+(Table1[[#This Row],[Fill Rate]]*0.2)+(Table1[[#This Row],[Cost Score]]*0.1)</f>
        <v>0.87374566727487435</v>
      </c>
      <c r="T355">
        <f>MAX(Table1[OTD])</f>
        <v>1</v>
      </c>
      <c r="U355" t="str">
        <f>IF(Table1[[#This Row],[Vendor Score]]&gt;=90%,"Excellent",IF(Table1[[#This Row],[Vendor Score]]&gt;=75%,"Moderate","Poor"))</f>
        <v>Moderate</v>
      </c>
    </row>
    <row r="356" spans="1:21" x14ac:dyDescent="0.35">
      <c r="A356" t="s">
        <v>493</v>
      </c>
      <c r="B356" t="s">
        <v>22</v>
      </c>
      <c r="C356" t="s">
        <v>23</v>
      </c>
      <c r="D356" t="s">
        <v>19</v>
      </c>
      <c r="E356" t="s">
        <v>47</v>
      </c>
      <c r="F356">
        <v>3662</v>
      </c>
      <c r="G356">
        <v>3453</v>
      </c>
      <c r="H356" s="1">
        <v>46342</v>
      </c>
      <c r="I356" s="1">
        <v>46341</v>
      </c>
      <c r="J356">
        <v>245</v>
      </c>
      <c r="K356">
        <v>80</v>
      </c>
      <c r="L356">
        <f t="shared" si="25"/>
        <v>-1</v>
      </c>
      <c r="M356" s="6">
        <f t="shared" si="26"/>
        <v>1</v>
      </c>
      <c r="N356" s="6">
        <f t="shared" si="27"/>
        <v>0.94292736209721462</v>
      </c>
      <c r="O356" s="6">
        <f t="shared" si="28"/>
        <v>0.92904720532869967</v>
      </c>
      <c r="P356">
        <f t="shared" si="29"/>
        <v>276240</v>
      </c>
      <c r="Q356" s="6">
        <f>MIN(Table1[Unit Price])/Table1[[#This Row],[Unit Price]]</f>
        <v>6.25E-2</v>
      </c>
      <c r="R356" s="8">
        <f>IF(Table1[[#This Row],[Delivery Delay]]&gt;0,1,0)</f>
        <v>0</v>
      </c>
      <c r="S356" s="6">
        <f>(Table1[[#This Row],[OTD]]*0.4)+(Table1[[#This Row],[Quality Rate]]*0.3)+(Table1[[#This Row],[Fill Rate]]*0.2)+(Table1[[#This Row],[Cost Score]]*0.1)</f>
        <v>0.87354963401805275</v>
      </c>
      <c r="T356">
        <f>MAX(Table1[OTD])</f>
        <v>1</v>
      </c>
      <c r="U356" t="str">
        <f>IF(Table1[[#This Row],[Vendor Score]]&gt;=90%,"Excellent",IF(Table1[[#This Row],[Vendor Score]]&gt;=75%,"Moderate","Poor"))</f>
        <v>Moderate</v>
      </c>
    </row>
    <row r="357" spans="1:21" x14ac:dyDescent="0.35">
      <c r="A357" t="s">
        <v>532</v>
      </c>
      <c r="B357" t="s">
        <v>59</v>
      </c>
      <c r="C357" t="s">
        <v>60</v>
      </c>
      <c r="D357" t="s">
        <v>33</v>
      </c>
      <c r="E357" t="s">
        <v>34</v>
      </c>
      <c r="F357">
        <v>3042</v>
      </c>
      <c r="G357">
        <v>2867</v>
      </c>
      <c r="H357" s="1">
        <v>46175</v>
      </c>
      <c r="I357" s="1">
        <v>46174</v>
      </c>
      <c r="J357">
        <v>175</v>
      </c>
      <c r="K357">
        <v>150</v>
      </c>
      <c r="L357">
        <f t="shared" si="25"/>
        <v>-1</v>
      </c>
      <c r="M357" s="6">
        <f t="shared" si="26"/>
        <v>1</v>
      </c>
      <c r="N357" s="6">
        <f t="shared" si="27"/>
        <v>0.94247205785667321</v>
      </c>
      <c r="O357" s="6">
        <f t="shared" si="28"/>
        <v>0.93896058597837462</v>
      </c>
      <c r="P357">
        <f t="shared" si="29"/>
        <v>430050</v>
      </c>
      <c r="Q357" s="6">
        <f>MIN(Table1[Unit Price])/Table1[[#This Row],[Unit Price]]</f>
        <v>3.3333333333333333E-2</v>
      </c>
      <c r="R357" s="8">
        <f>IF(Table1[[#This Row],[Delivery Delay]]&gt;0,1,0)</f>
        <v>0</v>
      </c>
      <c r="S357" s="6">
        <f>(Table1[[#This Row],[OTD]]*0.4)+(Table1[[#This Row],[Quality Rate]]*0.3)+(Table1[[#This Row],[Fill Rate]]*0.2)+(Table1[[#This Row],[Cost Score]]*0.1)</f>
        <v>0.87351592069818029</v>
      </c>
      <c r="T357">
        <f>MAX(Table1[OTD])</f>
        <v>1</v>
      </c>
      <c r="U357" t="str">
        <f>IF(Table1[[#This Row],[Vendor Score]]&gt;=90%,"Excellent",IF(Table1[[#This Row],[Vendor Score]]&gt;=75%,"Moderate","Poor"))</f>
        <v>Moderate</v>
      </c>
    </row>
    <row r="358" spans="1:21" x14ac:dyDescent="0.35">
      <c r="A358" t="s">
        <v>379</v>
      </c>
      <c r="B358" t="s">
        <v>59</v>
      </c>
      <c r="C358" t="s">
        <v>60</v>
      </c>
      <c r="D358" t="s">
        <v>55</v>
      </c>
      <c r="E358" t="s">
        <v>70</v>
      </c>
      <c r="F358">
        <v>2812</v>
      </c>
      <c r="G358">
        <v>2625</v>
      </c>
      <c r="H358" s="1">
        <v>46029</v>
      </c>
      <c r="I358" s="1">
        <v>46028</v>
      </c>
      <c r="J358">
        <v>160</v>
      </c>
      <c r="K358">
        <v>104</v>
      </c>
      <c r="L358">
        <f t="shared" si="25"/>
        <v>-1</v>
      </c>
      <c r="M358" s="6">
        <f t="shared" si="26"/>
        <v>1</v>
      </c>
      <c r="N358" s="6">
        <f t="shared" si="27"/>
        <v>0.9334992887624467</v>
      </c>
      <c r="O358" s="6">
        <f t="shared" si="28"/>
        <v>0.93904761904761902</v>
      </c>
      <c r="P358">
        <f t="shared" si="29"/>
        <v>273000</v>
      </c>
      <c r="Q358" s="6">
        <f>MIN(Table1[Unit Price])/Table1[[#This Row],[Unit Price]]</f>
        <v>4.807692307692308E-2</v>
      </c>
      <c r="R358" s="8">
        <f>IF(Table1[[#This Row],[Delivery Delay]]&gt;0,1,0)</f>
        <v>0</v>
      </c>
      <c r="S358" s="6">
        <f>(Table1[[#This Row],[OTD]]*0.4)+(Table1[[#This Row],[Quality Rate]]*0.3)+(Table1[[#This Row],[Fill Rate]]*0.2)+(Table1[[#This Row],[Cost Score]]*0.1)</f>
        <v>0.87322183577446733</v>
      </c>
      <c r="T358">
        <f>MAX(Table1[OTD])</f>
        <v>1</v>
      </c>
      <c r="U358" t="str">
        <f>IF(Table1[[#This Row],[Vendor Score]]&gt;=90%,"Excellent",IF(Table1[[#This Row],[Vendor Score]]&gt;=75%,"Moderate","Poor"))</f>
        <v>Moderate</v>
      </c>
    </row>
    <row r="359" spans="1:21" x14ac:dyDescent="0.35">
      <c r="A359" t="s">
        <v>533</v>
      </c>
      <c r="B359" t="s">
        <v>45</v>
      </c>
      <c r="C359" t="s">
        <v>46</v>
      </c>
      <c r="D359" t="s">
        <v>33</v>
      </c>
      <c r="E359" t="s">
        <v>15</v>
      </c>
      <c r="F359">
        <v>2709</v>
      </c>
      <c r="G359">
        <v>2641</v>
      </c>
      <c r="H359" s="1">
        <v>46382</v>
      </c>
      <c r="I359" s="1">
        <v>46380</v>
      </c>
      <c r="J359">
        <v>241</v>
      </c>
      <c r="K359">
        <v>91</v>
      </c>
      <c r="L359">
        <f t="shared" si="25"/>
        <v>-2</v>
      </c>
      <c r="M359" s="6">
        <f t="shared" si="26"/>
        <v>1</v>
      </c>
      <c r="N359" s="6">
        <f t="shared" si="27"/>
        <v>0.97489848652639355</v>
      </c>
      <c r="O359" s="6">
        <f t="shared" si="28"/>
        <v>0.90874668686103743</v>
      </c>
      <c r="P359">
        <f t="shared" si="29"/>
        <v>240331</v>
      </c>
      <c r="Q359" s="6">
        <f>MIN(Table1[Unit Price])/Table1[[#This Row],[Unit Price]]</f>
        <v>5.4945054945054944E-2</v>
      </c>
      <c r="R359" s="8">
        <f>IF(Table1[[#This Row],[Delivery Delay]]&gt;0,1,0)</f>
        <v>0</v>
      </c>
      <c r="S359" s="6">
        <f>(Table1[[#This Row],[OTD]]*0.4)+(Table1[[#This Row],[Quality Rate]]*0.3)+(Table1[[#This Row],[Fill Rate]]*0.2)+(Table1[[#This Row],[Cost Score]]*0.1)</f>
        <v>0.87309820885809553</v>
      </c>
      <c r="T359">
        <f>MAX(Table1[OTD])</f>
        <v>1</v>
      </c>
      <c r="U359" t="str">
        <f>IF(Table1[[#This Row],[Vendor Score]]&gt;=90%,"Excellent",IF(Table1[[#This Row],[Vendor Score]]&gt;=75%,"Moderate","Poor"))</f>
        <v>Moderate</v>
      </c>
    </row>
    <row r="360" spans="1:21" x14ac:dyDescent="0.35">
      <c r="A360" t="s">
        <v>466</v>
      </c>
      <c r="B360" t="s">
        <v>45</v>
      </c>
      <c r="C360" t="s">
        <v>46</v>
      </c>
      <c r="D360" t="s">
        <v>14</v>
      </c>
      <c r="E360" t="s">
        <v>52</v>
      </c>
      <c r="F360">
        <v>3031</v>
      </c>
      <c r="G360">
        <v>3000</v>
      </c>
      <c r="H360" s="1">
        <v>46082</v>
      </c>
      <c r="I360" s="1">
        <v>46081</v>
      </c>
      <c r="J360">
        <v>271</v>
      </c>
      <c r="K360">
        <v>231</v>
      </c>
      <c r="L360">
        <f t="shared" si="25"/>
        <v>-1</v>
      </c>
      <c r="M360" s="6">
        <f t="shared" si="26"/>
        <v>1</v>
      </c>
      <c r="N360" s="6">
        <f t="shared" si="27"/>
        <v>0.98977235235895744</v>
      </c>
      <c r="O360" s="6">
        <f t="shared" si="28"/>
        <v>0.90966666666666662</v>
      </c>
      <c r="P360">
        <f t="shared" si="29"/>
        <v>693000</v>
      </c>
      <c r="Q360" s="6">
        <f>MIN(Table1[Unit Price])/Table1[[#This Row],[Unit Price]]</f>
        <v>2.1645021645021644E-2</v>
      </c>
      <c r="R360" s="8">
        <f>IF(Table1[[#This Row],[Delivery Delay]]&gt;0,1,0)</f>
        <v>0</v>
      </c>
      <c r="S360" s="6">
        <f>(Table1[[#This Row],[OTD]]*0.4)+(Table1[[#This Row],[Quality Rate]]*0.3)+(Table1[[#This Row],[Fill Rate]]*0.2)+(Table1[[#This Row],[Cost Score]]*0.1)</f>
        <v>0.87301897263629369</v>
      </c>
      <c r="T360">
        <f>MAX(Table1[OTD])</f>
        <v>1</v>
      </c>
      <c r="U360" t="str">
        <f>IF(Table1[[#This Row],[Vendor Score]]&gt;=90%,"Excellent",IF(Table1[[#This Row],[Vendor Score]]&gt;=75%,"Moderate","Poor"))</f>
        <v>Moderate</v>
      </c>
    </row>
    <row r="361" spans="1:21" x14ac:dyDescent="0.35">
      <c r="A361" t="s">
        <v>104</v>
      </c>
      <c r="B361" t="s">
        <v>45</v>
      </c>
      <c r="C361" t="s">
        <v>46</v>
      </c>
      <c r="D361" t="s">
        <v>19</v>
      </c>
      <c r="E361" t="s">
        <v>52</v>
      </c>
      <c r="F361">
        <v>3051</v>
      </c>
      <c r="G361">
        <v>2945</v>
      </c>
      <c r="H361" s="1">
        <v>46112</v>
      </c>
      <c r="I361" s="1">
        <v>46112</v>
      </c>
      <c r="J361">
        <v>267</v>
      </c>
      <c r="K361">
        <v>70</v>
      </c>
      <c r="L361">
        <f t="shared" si="25"/>
        <v>0</v>
      </c>
      <c r="M361" s="6">
        <f t="shared" si="26"/>
        <v>1</v>
      </c>
      <c r="N361" s="6">
        <f t="shared" si="27"/>
        <v>0.96525729269092098</v>
      </c>
      <c r="O361" s="6">
        <f t="shared" si="28"/>
        <v>0.90933786078098477</v>
      </c>
      <c r="P361">
        <f t="shared" si="29"/>
        <v>206150</v>
      </c>
      <c r="Q361" s="6">
        <f>MIN(Table1[Unit Price])/Table1[[#This Row],[Unit Price]]</f>
        <v>7.1428571428571425E-2</v>
      </c>
      <c r="R361" s="8">
        <f>IF(Table1[[#This Row],[Delivery Delay]]&gt;0,1,0)</f>
        <v>0</v>
      </c>
      <c r="S361" s="6">
        <f>(Table1[[#This Row],[OTD]]*0.4)+(Table1[[#This Row],[Quality Rate]]*0.3)+(Table1[[#This Row],[Fill Rate]]*0.2)+(Table1[[#This Row],[Cost Score]]*0.1)</f>
        <v>0.87299567391533672</v>
      </c>
      <c r="T361">
        <f>MAX(Table1[OTD])</f>
        <v>1</v>
      </c>
      <c r="U361" t="str">
        <f>IF(Table1[[#This Row],[Vendor Score]]&gt;=90%,"Excellent",IF(Table1[[#This Row],[Vendor Score]]&gt;=75%,"Moderate","Poor"))</f>
        <v>Moderate</v>
      </c>
    </row>
    <row r="362" spans="1:21" x14ac:dyDescent="0.35">
      <c r="A362" t="s">
        <v>139</v>
      </c>
      <c r="B362" t="s">
        <v>45</v>
      </c>
      <c r="C362" t="s">
        <v>46</v>
      </c>
      <c r="D362" t="s">
        <v>19</v>
      </c>
      <c r="E362" t="s">
        <v>70</v>
      </c>
      <c r="F362">
        <v>2772</v>
      </c>
      <c r="G362">
        <v>2748</v>
      </c>
      <c r="H362" s="1">
        <v>46040</v>
      </c>
      <c r="I362" s="1">
        <v>46038</v>
      </c>
      <c r="J362">
        <v>251</v>
      </c>
      <c r="K362">
        <v>238</v>
      </c>
      <c r="L362">
        <f t="shared" si="25"/>
        <v>-2</v>
      </c>
      <c r="M362" s="6">
        <f t="shared" si="26"/>
        <v>1</v>
      </c>
      <c r="N362" s="6">
        <f t="shared" si="27"/>
        <v>0.9913419913419913</v>
      </c>
      <c r="O362" s="6">
        <f t="shared" si="28"/>
        <v>0.90866084425036386</v>
      </c>
      <c r="P362">
        <f t="shared" si="29"/>
        <v>654024</v>
      </c>
      <c r="Q362" s="6">
        <f>MIN(Table1[Unit Price])/Table1[[#This Row],[Unit Price]]</f>
        <v>2.100840336134454E-2</v>
      </c>
      <c r="R362" s="8">
        <f>IF(Table1[[#This Row],[Delivery Delay]]&gt;0,1,0)</f>
        <v>0</v>
      </c>
      <c r="S362" s="6">
        <f>(Table1[[#This Row],[OTD]]*0.4)+(Table1[[#This Row],[Quality Rate]]*0.3)+(Table1[[#This Row],[Fill Rate]]*0.2)+(Table1[[#This Row],[Cost Score]]*0.1)</f>
        <v>0.87296749187964184</v>
      </c>
      <c r="T362">
        <f>MAX(Table1[OTD])</f>
        <v>1</v>
      </c>
      <c r="U362" t="str">
        <f>IF(Table1[[#This Row],[Vendor Score]]&gt;=90%,"Excellent",IF(Table1[[#This Row],[Vendor Score]]&gt;=75%,"Moderate","Poor"))</f>
        <v>Moderate</v>
      </c>
    </row>
    <row r="363" spans="1:21" x14ac:dyDescent="0.35">
      <c r="A363" t="s">
        <v>257</v>
      </c>
      <c r="B363" t="s">
        <v>78</v>
      </c>
      <c r="C363" t="s">
        <v>79</v>
      </c>
      <c r="D363" t="s">
        <v>55</v>
      </c>
      <c r="E363" t="s">
        <v>28</v>
      </c>
      <c r="F363">
        <v>1470</v>
      </c>
      <c r="G363">
        <v>1355</v>
      </c>
      <c r="H363" s="1">
        <v>46287</v>
      </c>
      <c r="I363" s="1">
        <v>46286</v>
      </c>
      <c r="J363">
        <v>72</v>
      </c>
      <c r="K363">
        <v>110</v>
      </c>
      <c r="L363">
        <f t="shared" si="25"/>
        <v>-1</v>
      </c>
      <c r="M363" s="6">
        <f t="shared" si="26"/>
        <v>1</v>
      </c>
      <c r="N363" s="6">
        <f t="shared" si="27"/>
        <v>0.92176870748299322</v>
      </c>
      <c r="O363" s="6">
        <f t="shared" si="28"/>
        <v>0.9468634686346864</v>
      </c>
      <c r="P363">
        <f t="shared" si="29"/>
        <v>149050</v>
      </c>
      <c r="Q363" s="6">
        <f>MIN(Table1[Unit Price])/Table1[[#This Row],[Unit Price]]</f>
        <v>4.5454545454545456E-2</v>
      </c>
      <c r="R363" s="8">
        <f>IF(Table1[[#This Row],[Delivery Delay]]&gt;0,1,0)</f>
        <v>0</v>
      </c>
      <c r="S363" s="6">
        <f>(Table1[[#This Row],[OTD]]*0.4)+(Table1[[#This Row],[Quality Rate]]*0.3)+(Table1[[#This Row],[Fill Rate]]*0.2)+(Table1[[#This Row],[Cost Score]]*0.1)</f>
        <v>0.87295823663245908</v>
      </c>
      <c r="T363">
        <f>MAX(Table1[OTD])</f>
        <v>1</v>
      </c>
      <c r="U363" t="str">
        <f>IF(Table1[[#This Row],[Vendor Score]]&gt;=90%,"Excellent",IF(Table1[[#This Row],[Vendor Score]]&gt;=75%,"Moderate","Poor"))</f>
        <v>Moderate</v>
      </c>
    </row>
    <row r="364" spans="1:21" x14ac:dyDescent="0.35">
      <c r="A364" t="s">
        <v>348</v>
      </c>
      <c r="B364" t="s">
        <v>78</v>
      </c>
      <c r="C364" t="s">
        <v>79</v>
      </c>
      <c r="D364" t="s">
        <v>19</v>
      </c>
      <c r="E364" t="s">
        <v>24</v>
      </c>
      <c r="F364">
        <v>1140</v>
      </c>
      <c r="G364">
        <v>1061</v>
      </c>
      <c r="H364" s="1">
        <v>46170</v>
      </c>
      <c r="I364" s="1">
        <v>46168</v>
      </c>
      <c r="J364">
        <v>57</v>
      </c>
      <c r="K364">
        <v>179</v>
      </c>
      <c r="L364">
        <f t="shared" si="25"/>
        <v>-2</v>
      </c>
      <c r="M364" s="6">
        <f t="shared" si="26"/>
        <v>1</v>
      </c>
      <c r="N364" s="6">
        <f t="shared" si="27"/>
        <v>0.93070175438596492</v>
      </c>
      <c r="O364" s="6">
        <f t="shared" si="28"/>
        <v>0.94627709707822805</v>
      </c>
      <c r="P364">
        <f t="shared" si="29"/>
        <v>189919</v>
      </c>
      <c r="Q364" s="6">
        <f>MIN(Table1[Unit Price])/Table1[[#This Row],[Unit Price]]</f>
        <v>2.7932960893854747E-2</v>
      </c>
      <c r="R364" s="8">
        <f>IF(Table1[[#This Row],[Delivery Delay]]&gt;0,1,0)</f>
        <v>0</v>
      </c>
      <c r="S364" s="6">
        <f>(Table1[[#This Row],[OTD]]*0.4)+(Table1[[#This Row],[Quality Rate]]*0.3)+(Table1[[#This Row],[Fill Rate]]*0.2)+(Table1[[#This Row],[Cost Score]]*0.1)</f>
        <v>0.87281677609004693</v>
      </c>
      <c r="T364">
        <f>MAX(Table1[OTD])</f>
        <v>1</v>
      </c>
      <c r="U364" t="str">
        <f>IF(Table1[[#This Row],[Vendor Score]]&gt;=90%,"Excellent",IF(Table1[[#This Row],[Vendor Score]]&gt;=75%,"Moderate","Poor"))</f>
        <v>Moderate</v>
      </c>
    </row>
    <row r="365" spans="1:21" x14ac:dyDescent="0.35">
      <c r="A365" t="s">
        <v>376</v>
      </c>
      <c r="B365" t="s">
        <v>45</v>
      </c>
      <c r="C365" t="s">
        <v>46</v>
      </c>
      <c r="D365" t="s">
        <v>14</v>
      </c>
      <c r="E365" t="s">
        <v>20</v>
      </c>
      <c r="F365">
        <v>809</v>
      </c>
      <c r="G365">
        <v>800</v>
      </c>
      <c r="H365" s="1">
        <v>46228</v>
      </c>
      <c r="I365" s="1">
        <v>46226</v>
      </c>
      <c r="J365">
        <v>72</v>
      </c>
      <c r="K365">
        <v>250</v>
      </c>
      <c r="L365">
        <f t="shared" si="25"/>
        <v>-2</v>
      </c>
      <c r="M365" s="6">
        <f t="shared" si="26"/>
        <v>1</v>
      </c>
      <c r="N365" s="6">
        <f t="shared" si="27"/>
        <v>0.9888751545117429</v>
      </c>
      <c r="O365" s="6">
        <f t="shared" si="28"/>
        <v>0.91</v>
      </c>
      <c r="P365">
        <f t="shared" si="29"/>
        <v>200000</v>
      </c>
      <c r="Q365" s="6">
        <f>MIN(Table1[Unit Price])/Table1[[#This Row],[Unit Price]]</f>
        <v>0.02</v>
      </c>
      <c r="R365" s="8">
        <f>IF(Table1[[#This Row],[Delivery Delay]]&gt;0,1,0)</f>
        <v>0</v>
      </c>
      <c r="S365" s="6">
        <f>(Table1[[#This Row],[OTD]]*0.4)+(Table1[[#This Row],[Quality Rate]]*0.3)+(Table1[[#This Row],[Fill Rate]]*0.2)+(Table1[[#This Row],[Cost Score]]*0.1)</f>
        <v>0.87277503090234865</v>
      </c>
      <c r="T365">
        <f>MAX(Table1[OTD])</f>
        <v>1</v>
      </c>
      <c r="U365" t="str">
        <f>IF(Table1[[#This Row],[Vendor Score]]&gt;=90%,"Excellent",IF(Table1[[#This Row],[Vendor Score]]&gt;=75%,"Moderate","Poor"))</f>
        <v>Moderate</v>
      </c>
    </row>
    <row r="366" spans="1:21" x14ac:dyDescent="0.35">
      <c r="A366" t="s">
        <v>203</v>
      </c>
      <c r="B366" t="s">
        <v>45</v>
      </c>
      <c r="C366" t="s">
        <v>46</v>
      </c>
      <c r="D366" t="s">
        <v>19</v>
      </c>
      <c r="E366" t="s">
        <v>57</v>
      </c>
      <c r="F366">
        <v>876</v>
      </c>
      <c r="G366">
        <v>857</v>
      </c>
      <c r="H366" s="1">
        <v>46302</v>
      </c>
      <c r="I366" s="1">
        <v>46300</v>
      </c>
      <c r="J366">
        <v>78</v>
      </c>
      <c r="K366">
        <v>118</v>
      </c>
      <c r="L366">
        <f t="shared" si="25"/>
        <v>-2</v>
      </c>
      <c r="M366" s="6">
        <f t="shared" si="26"/>
        <v>1</v>
      </c>
      <c r="N366" s="6">
        <f t="shared" si="27"/>
        <v>0.97831050228310501</v>
      </c>
      <c r="O366" s="6">
        <f t="shared" si="28"/>
        <v>0.90898483080513415</v>
      </c>
      <c r="P366">
        <f t="shared" si="29"/>
        <v>101126</v>
      </c>
      <c r="Q366" s="6">
        <f>MIN(Table1[Unit Price])/Table1[[#This Row],[Unit Price]]</f>
        <v>4.2372881355932202E-2</v>
      </c>
      <c r="R366" s="8">
        <f>IF(Table1[[#This Row],[Delivery Delay]]&gt;0,1,0)</f>
        <v>0</v>
      </c>
      <c r="S366" s="6">
        <f>(Table1[[#This Row],[OTD]]*0.4)+(Table1[[#This Row],[Quality Rate]]*0.3)+(Table1[[#This Row],[Fill Rate]]*0.2)+(Table1[[#This Row],[Cost Score]]*0.1)</f>
        <v>0.87259483783375447</v>
      </c>
      <c r="T366">
        <f>MAX(Table1[OTD])</f>
        <v>1</v>
      </c>
      <c r="U366" t="str">
        <f>IF(Table1[[#This Row],[Vendor Score]]&gt;=90%,"Excellent",IF(Table1[[#This Row],[Vendor Score]]&gt;=75%,"Moderate","Poor"))</f>
        <v>Moderate</v>
      </c>
    </row>
    <row r="367" spans="1:21" x14ac:dyDescent="0.35">
      <c r="A367" t="s">
        <v>163</v>
      </c>
      <c r="B367" t="s">
        <v>59</v>
      </c>
      <c r="C367" t="s">
        <v>60</v>
      </c>
      <c r="D367" t="s">
        <v>33</v>
      </c>
      <c r="E367" t="s">
        <v>24</v>
      </c>
      <c r="F367">
        <v>4600</v>
      </c>
      <c r="G367">
        <v>4261</v>
      </c>
      <c r="H367" s="1">
        <v>46148</v>
      </c>
      <c r="I367" s="1">
        <v>46147</v>
      </c>
      <c r="J367">
        <v>261</v>
      </c>
      <c r="K367">
        <v>90</v>
      </c>
      <c r="L367">
        <f t="shared" si="25"/>
        <v>-1</v>
      </c>
      <c r="M367" s="6">
        <f t="shared" si="26"/>
        <v>1</v>
      </c>
      <c r="N367" s="6">
        <f t="shared" si="27"/>
        <v>0.92630434782608695</v>
      </c>
      <c r="O367" s="6">
        <f t="shared" si="28"/>
        <v>0.93874677305796761</v>
      </c>
      <c r="P367">
        <f t="shared" si="29"/>
        <v>383490</v>
      </c>
      <c r="Q367" s="6">
        <f>MIN(Table1[Unit Price])/Table1[[#This Row],[Unit Price]]</f>
        <v>5.5555555555555552E-2</v>
      </c>
      <c r="R367" s="8">
        <f>IF(Table1[[#This Row],[Delivery Delay]]&gt;0,1,0)</f>
        <v>0</v>
      </c>
      <c r="S367" s="6">
        <f>(Table1[[#This Row],[OTD]]*0.4)+(Table1[[#This Row],[Quality Rate]]*0.3)+(Table1[[#This Row],[Fill Rate]]*0.2)+(Table1[[#This Row],[Cost Score]]*0.1)</f>
        <v>0.8724404570381632</v>
      </c>
      <c r="T367">
        <f>MAX(Table1[OTD])</f>
        <v>1</v>
      </c>
      <c r="U367" t="str">
        <f>IF(Table1[[#This Row],[Vendor Score]]&gt;=90%,"Excellent",IF(Table1[[#This Row],[Vendor Score]]&gt;=75%,"Moderate","Poor"))</f>
        <v>Moderate</v>
      </c>
    </row>
    <row r="368" spans="1:21" x14ac:dyDescent="0.35">
      <c r="A368" t="s">
        <v>531</v>
      </c>
      <c r="B368" t="s">
        <v>45</v>
      </c>
      <c r="C368" t="s">
        <v>46</v>
      </c>
      <c r="D368" t="s">
        <v>19</v>
      </c>
      <c r="E368" t="s">
        <v>70</v>
      </c>
      <c r="F368">
        <v>4005</v>
      </c>
      <c r="G368">
        <v>3882</v>
      </c>
      <c r="H368" s="1">
        <v>46032</v>
      </c>
      <c r="I368" s="1">
        <v>46031</v>
      </c>
      <c r="J368">
        <v>350</v>
      </c>
      <c r="K368">
        <v>89</v>
      </c>
      <c r="L368">
        <f t="shared" si="25"/>
        <v>-1</v>
      </c>
      <c r="M368" s="6">
        <f t="shared" si="26"/>
        <v>1</v>
      </c>
      <c r="N368" s="6">
        <f t="shared" si="27"/>
        <v>0.96928838951310858</v>
      </c>
      <c r="O368" s="6">
        <f t="shared" si="28"/>
        <v>0.90984028851107679</v>
      </c>
      <c r="P368">
        <f t="shared" si="29"/>
        <v>345498</v>
      </c>
      <c r="Q368" s="6">
        <f>MIN(Table1[Unit Price])/Table1[[#This Row],[Unit Price]]</f>
        <v>5.6179775280898875E-2</v>
      </c>
      <c r="R368" s="8">
        <f>IF(Table1[[#This Row],[Delivery Delay]]&gt;0,1,0)</f>
        <v>0</v>
      </c>
      <c r="S368" s="6">
        <f>(Table1[[#This Row],[OTD]]*0.4)+(Table1[[#This Row],[Quality Rate]]*0.3)+(Table1[[#This Row],[Fill Rate]]*0.2)+(Table1[[#This Row],[Cost Score]]*0.1)</f>
        <v>0.87242774198403472</v>
      </c>
      <c r="T368">
        <f>MAX(Table1[OTD])</f>
        <v>1</v>
      </c>
      <c r="U368" t="str">
        <f>IF(Table1[[#This Row],[Vendor Score]]&gt;=90%,"Excellent",IF(Table1[[#This Row],[Vendor Score]]&gt;=75%,"Moderate","Poor"))</f>
        <v>Moderate</v>
      </c>
    </row>
    <row r="369" spans="1:21" x14ac:dyDescent="0.35">
      <c r="A369" t="s">
        <v>118</v>
      </c>
      <c r="B369" t="s">
        <v>22</v>
      </c>
      <c r="C369" t="s">
        <v>23</v>
      </c>
      <c r="D369" t="s">
        <v>19</v>
      </c>
      <c r="E369" t="s">
        <v>63</v>
      </c>
      <c r="F369">
        <v>2533</v>
      </c>
      <c r="G369">
        <v>2418</v>
      </c>
      <c r="H369" s="1">
        <v>46068</v>
      </c>
      <c r="I369" s="1">
        <v>46066</v>
      </c>
      <c r="J369">
        <v>173</v>
      </c>
      <c r="K369">
        <v>172</v>
      </c>
      <c r="L369">
        <f t="shared" si="25"/>
        <v>-2</v>
      </c>
      <c r="M369" s="6">
        <f t="shared" si="26"/>
        <v>1</v>
      </c>
      <c r="N369" s="6">
        <f t="shared" si="27"/>
        <v>0.95459928938018157</v>
      </c>
      <c r="O369" s="6">
        <f t="shared" si="28"/>
        <v>0.92845326716294463</v>
      </c>
      <c r="P369">
        <f t="shared" si="29"/>
        <v>415896</v>
      </c>
      <c r="Q369" s="6">
        <f>MIN(Table1[Unit Price])/Table1[[#This Row],[Unit Price]]</f>
        <v>2.9069767441860465E-2</v>
      </c>
      <c r="R369" s="8">
        <f>IF(Table1[[#This Row],[Delivery Delay]]&gt;0,1,0)</f>
        <v>0</v>
      </c>
      <c r="S369" s="6">
        <f>(Table1[[#This Row],[OTD]]*0.4)+(Table1[[#This Row],[Quality Rate]]*0.3)+(Table1[[#This Row],[Fill Rate]]*0.2)+(Table1[[#This Row],[Cost Score]]*0.1)</f>
        <v>0.87236281476910582</v>
      </c>
      <c r="T369">
        <f>MAX(Table1[OTD])</f>
        <v>1</v>
      </c>
      <c r="U369" t="str">
        <f>IF(Table1[[#This Row],[Vendor Score]]&gt;=90%,"Excellent",IF(Table1[[#This Row],[Vendor Score]]&gt;=75%,"Moderate","Poor"))</f>
        <v>Moderate</v>
      </c>
    </row>
    <row r="370" spans="1:21" x14ac:dyDescent="0.35">
      <c r="A370" t="s">
        <v>126</v>
      </c>
      <c r="B370" t="s">
        <v>22</v>
      </c>
      <c r="C370" t="s">
        <v>23</v>
      </c>
      <c r="D370" t="s">
        <v>55</v>
      </c>
      <c r="E370" t="s">
        <v>40</v>
      </c>
      <c r="F370">
        <v>1541</v>
      </c>
      <c r="G370">
        <v>1481</v>
      </c>
      <c r="H370" s="1">
        <v>46258</v>
      </c>
      <c r="I370" s="1">
        <v>46258</v>
      </c>
      <c r="J370">
        <v>109</v>
      </c>
      <c r="K370">
        <v>237</v>
      </c>
      <c r="L370">
        <f t="shared" si="25"/>
        <v>0</v>
      </c>
      <c r="M370" s="6">
        <f t="shared" si="26"/>
        <v>1</v>
      </c>
      <c r="N370" s="6">
        <f t="shared" si="27"/>
        <v>0.96106424399740431</v>
      </c>
      <c r="O370" s="6">
        <f t="shared" si="28"/>
        <v>0.92640108035111413</v>
      </c>
      <c r="P370">
        <f t="shared" si="29"/>
        <v>350997</v>
      </c>
      <c r="Q370" s="6">
        <f>MIN(Table1[Unit Price])/Table1[[#This Row],[Unit Price]]</f>
        <v>2.1097046413502109E-2</v>
      </c>
      <c r="R370" s="8">
        <f>IF(Table1[[#This Row],[Delivery Delay]]&gt;0,1,0)</f>
        <v>0</v>
      </c>
      <c r="S370" s="6">
        <f>(Table1[[#This Row],[OTD]]*0.4)+(Table1[[#This Row],[Quality Rate]]*0.3)+(Table1[[#This Row],[Fill Rate]]*0.2)+(Table1[[#This Row],[Cost Score]]*0.1)</f>
        <v>0.87224287754616525</v>
      </c>
      <c r="T370">
        <f>MAX(Table1[OTD])</f>
        <v>1</v>
      </c>
      <c r="U370" t="str">
        <f>IF(Table1[[#This Row],[Vendor Score]]&gt;=90%,"Excellent",IF(Table1[[#This Row],[Vendor Score]]&gt;=75%,"Moderate","Poor"))</f>
        <v>Moderate</v>
      </c>
    </row>
    <row r="371" spans="1:21" x14ac:dyDescent="0.35">
      <c r="A371" t="s">
        <v>454</v>
      </c>
      <c r="B371" t="s">
        <v>22</v>
      </c>
      <c r="C371" t="s">
        <v>23</v>
      </c>
      <c r="D371" t="s">
        <v>14</v>
      </c>
      <c r="E371" t="s">
        <v>63</v>
      </c>
      <c r="F371">
        <v>1731</v>
      </c>
      <c r="G371">
        <v>1654</v>
      </c>
      <c r="H371" s="1">
        <v>46059</v>
      </c>
      <c r="I371" s="1">
        <v>46057</v>
      </c>
      <c r="J371">
        <v>116</v>
      </c>
      <c r="K371">
        <v>241</v>
      </c>
      <c r="L371">
        <f t="shared" si="25"/>
        <v>-2</v>
      </c>
      <c r="M371" s="6">
        <f t="shared" si="26"/>
        <v>1</v>
      </c>
      <c r="N371" s="6">
        <f t="shared" si="27"/>
        <v>0.95551704217215483</v>
      </c>
      <c r="O371" s="6">
        <f t="shared" si="28"/>
        <v>0.92986698911729138</v>
      </c>
      <c r="P371">
        <f t="shared" si="29"/>
        <v>398614</v>
      </c>
      <c r="Q371" s="6">
        <f>MIN(Table1[Unit Price])/Table1[[#This Row],[Unit Price]]</f>
        <v>2.0746887966804978E-2</v>
      </c>
      <c r="R371" s="8">
        <f>IF(Table1[[#This Row],[Delivery Delay]]&gt;0,1,0)</f>
        <v>0</v>
      </c>
      <c r="S371" s="6">
        <f>(Table1[[#This Row],[OTD]]*0.4)+(Table1[[#This Row],[Quality Rate]]*0.3)+(Table1[[#This Row],[Fill Rate]]*0.2)+(Table1[[#This Row],[Cost Score]]*0.1)</f>
        <v>0.87213819396629888</v>
      </c>
      <c r="T371">
        <f>MAX(Table1[OTD])</f>
        <v>1</v>
      </c>
      <c r="U371" t="str">
        <f>IF(Table1[[#This Row],[Vendor Score]]&gt;=90%,"Excellent",IF(Table1[[#This Row],[Vendor Score]]&gt;=75%,"Moderate","Poor"))</f>
        <v>Moderate</v>
      </c>
    </row>
    <row r="372" spans="1:21" x14ac:dyDescent="0.35">
      <c r="A372" t="s">
        <v>364</v>
      </c>
      <c r="B372" t="s">
        <v>45</v>
      </c>
      <c r="C372" t="s">
        <v>46</v>
      </c>
      <c r="D372" t="s">
        <v>33</v>
      </c>
      <c r="E372" t="s">
        <v>52</v>
      </c>
      <c r="F372">
        <v>4196</v>
      </c>
      <c r="G372">
        <v>4052</v>
      </c>
      <c r="H372" s="1">
        <v>46105</v>
      </c>
      <c r="I372" s="1">
        <v>46104</v>
      </c>
      <c r="J372">
        <v>367</v>
      </c>
      <c r="K372">
        <v>84</v>
      </c>
      <c r="L372">
        <f t="shared" si="25"/>
        <v>-1</v>
      </c>
      <c r="M372" s="6">
        <f t="shared" si="26"/>
        <v>1</v>
      </c>
      <c r="N372" s="6">
        <f t="shared" si="27"/>
        <v>0.96568160152526217</v>
      </c>
      <c r="O372" s="6">
        <f t="shared" si="28"/>
        <v>0.90942744323790725</v>
      </c>
      <c r="P372">
        <f t="shared" si="29"/>
        <v>340368</v>
      </c>
      <c r="Q372" s="6">
        <f>MIN(Table1[Unit Price])/Table1[[#This Row],[Unit Price]]</f>
        <v>5.9523809523809521E-2</v>
      </c>
      <c r="R372" s="8">
        <f>IF(Table1[[#This Row],[Delivery Delay]]&gt;0,1,0)</f>
        <v>0</v>
      </c>
      <c r="S372" s="6">
        <f>(Table1[[#This Row],[OTD]]*0.4)+(Table1[[#This Row],[Quality Rate]]*0.3)+(Table1[[#This Row],[Fill Rate]]*0.2)+(Table1[[#This Row],[Cost Score]]*0.1)</f>
        <v>0.87191693422880556</v>
      </c>
      <c r="T372">
        <f>MAX(Table1[OTD])</f>
        <v>1</v>
      </c>
      <c r="U372" t="str">
        <f>IF(Table1[[#This Row],[Vendor Score]]&gt;=90%,"Excellent",IF(Table1[[#This Row],[Vendor Score]]&gt;=75%,"Moderate","Poor"))</f>
        <v>Moderate</v>
      </c>
    </row>
    <row r="373" spans="1:21" x14ac:dyDescent="0.35">
      <c r="A373" t="s">
        <v>252</v>
      </c>
      <c r="B373" t="s">
        <v>22</v>
      </c>
      <c r="C373" t="s">
        <v>23</v>
      </c>
      <c r="D373" t="s">
        <v>19</v>
      </c>
      <c r="E373" t="s">
        <v>47</v>
      </c>
      <c r="F373">
        <v>4534</v>
      </c>
      <c r="G373">
        <v>4289</v>
      </c>
      <c r="H373" s="1">
        <v>46340</v>
      </c>
      <c r="I373" s="1">
        <v>46339</v>
      </c>
      <c r="J373">
        <v>303</v>
      </c>
      <c r="K373">
        <v>128</v>
      </c>
      <c r="L373">
        <f t="shared" si="25"/>
        <v>-1</v>
      </c>
      <c r="M373" s="6">
        <f t="shared" si="26"/>
        <v>1</v>
      </c>
      <c r="N373" s="6">
        <f t="shared" si="27"/>
        <v>0.94596382884869867</v>
      </c>
      <c r="O373" s="6">
        <f t="shared" si="28"/>
        <v>0.92935416180927954</v>
      </c>
      <c r="P373">
        <f t="shared" si="29"/>
        <v>548992</v>
      </c>
      <c r="Q373" s="6">
        <f>MIN(Table1[Unit Price])/Table1[[#This Row],[Unit Price]]</f>
        <v>3.90625E-2</v>
      </c>
      <c r="R373" s="8">
        <f>IF(Table1[[#This Row],[Delivery Delay]]&gt;0,1,0)</f>
        <v>0</v>
      </c>
      <c r="S373" s="6">
        <f>(Table1[[#This Row],[OTD]]*0.4)+(Table1[[#This Row],[Quality Rate]]*0.3)+(Table1[[#This Row],[Fill Rate]]*0.2)+(Table1[[#This Row],[Cost Score]]*0.1)</f>
        <v>0.87190526431252369</v>
      </c>
      <c r="T373">
        <f>MAX(Table1[OTD])</f>
        <v>1</v>
      </c>
      <c r="U373" t="str">
        <f>IF(Table1[[#This Row],[Vendor Score]]&gt;=90%,"Excellent",IF(Table1[[#This Row],[Vendor Score]]&gt;=75%,"Moderate","Poor"))</f>
        <v>Moderate</v>
      </c>
    </row>
    <row r="374" spans="1:21" x14ac:dyDescent="0.35">
      <c r="A374" t="s">
        <v>281</v>
      </c>
      <c r="B374" t="s">
        <v>59</v>
      </c>
      <c r="C374" t="s">
        <v>60</v>
      </c>
      <c r="D374" t="s">
        <v>55</v>
      </c>
      <c r="E374" t="s">
        <v>40</v>
      </c>
      <c r="F374">
        <v>496</v>
      </c>
      <c r="G374">
        <v>473</v>
      </c>
      <c r="H374" s="1">
        <v>46253</v>
      </c>
      <c r="I374" s="1">
        <v>46253</v>
      </c>
      <c r="J374">
        <v>34</v>
      </c>
      <c r="K374">
        <v>191</v>
      </c>
      <c r="L374">
        <f t="shared" si="25"/>
        <v>0</v>
      </c>
      <c r="M374" s="6">
        <f t="shared" si="26"/>
        <v>1</v>
      </c>
      <c r="N374" s="6">
        <f t="shared" si="27"/>
        <v>0.9536290322580645</v>
      </c>
      <c r="O374" s="6">
        <f t="shared" si="28"/>
        <v>0.92811839323467227</v>
      </c>
      <c r="P374">
        <f t="shared" si="29"/>
        <v>90343</v>
      </c>
      <c r="Q374" s="6">
        <f>MIN(Table1[Unit Price])/Table1[[#This Row],[Unit Price]]</f>
        <v>2.6178010471204188E-2</v>
      </c>
      <c r="R374" s="8">
        <f>IF(Table1[[#This Row],[Delivery Delay]]&gt;0,1,0)</f>
        <v>0</v>
      </c>
      <c r="S374" s="6">
        <f>(Table1[[#This Row],[OTD]]*0.4)+(Table1[[#This Row],[Quality Rate]]*0.3)+(Table1[[#This Row],[Fill Rate]]*0.2)+(Table1[[#This Row],[Cost Score]]*0.1)</f>
        <v>0.87177912546913505</v>
      </c>
      <c r="T374">
        <f>MAX(Table1[OTD])</f>
        <v>1</v>
      </c>
      <c r="U374" t="str">
        <f>IF(Table1[[#This Row],[Vendor Score]]&gt;=90%,"Excellent",IF(Table1[[#This Row],[Vendor Score]]&gt;=75%,"Moderate","Poor"))</f>
        <v>Moderate</v>
      </c>
    </row>
    <row r="375" spans="1:21" x14ac:dyDescent="0.35">
      <c r="A375" t="s">
        <v>406</v>
      </c>
      <c r="B375" t="s">
        <v>59</v>
      </c>
      <c r="C375" t="s">
        <v>60</v>
      </c>
      <c r="D375" t="s">
        <v>19</v>
      </c>
      <c r="E375" t="s">
        <v>47</v>
      </c>
      <c r="F375">
        <v>4978</v>
      </c>
      <c r="G375">
        <v>4654</v>
      </c>
      <c r="H375" s="1">
        <v>46341</v>
      </c>
      <c r="I375" s="1">
        <v>46341</v>
      </c>
      <c r="J375">
        <v>281</v>
      </c>
      <c r="K375">
        <v>178</v>
      </c>
      <c r="L375">
        <f t="shared" si="25"/>
        <v>0</v>
      </c>
      <c r="M375" s="6">
        <f t="shared" si="26"/>
        <v>1</v>
      </c>
      <c r="N375" s="6">
        <f t="shared" si="27"/>
        <v>0.93491361992768185</v>
      </c>
      <c r="O375" s="6">
        <f t="shared" si="28"/>
        <v>0.9396218306832832</v>
      </c>
      <c r="P375">
        <f t="shared" si="29"/>
        <v>828412</v>
      </c>
      <c r="Q375" s="6">
        <f>MIN(Table1[Unit Price])/Table1[[#This Row],[Unit Price]]</f>
        <v>2.8089887640449437E-2</v>
      </c>
      <c r="R375" s="8">
        <f>IF(Table1[[#This Row],[Delivery Delay]]&gt;0,1,0)</f>
        <v>0</v>
      </c>
      <c r="S375" s="6">
        <f>(Table1[[#This Row],[OTD]]*0.4)+(Table1[[#This Row],[Quality Rate]]*0.3)+(Table1[[#This Row],[Fill Rate]]*0.2)+(Table1[[#This Row],[Cost Score]]*0.1)</f>
        <v>0.87167826195456632</v>
      </c>
      <c r="T375">
        <f>MAX(Table1[OTD])</f>
        <v>1</v>
      </c>
      <c r="U375" t="str">
        <f>IF(Table1[[#This Row],[Vendor Score]]&gt;=90%,"Excellent",IF(Table1[[#This Row],[Vendor Score]]&gt;=75%,"Moderate","Poor"))</f>
        <v>Moderate</v>
      </c>
    </row>
    <row r="376" spans="1:21" x14ac:dyDescent="0.35">
      <c r="A376" t="s">
        <v>177</v>
      </c>
      <c r="B376" t="s">
        <v>45</v>
      </c>
      <c r="C376" t="s">
        <v>46</v>
      </c>
      <c r="D376" t="s">
        <v>14</v>
      </c>
      <c r="E376" t="s">
        <v>15</v>
      </c>
      <c r="F376">
        <v>743</v>
      </c>
      <c r="G376">
        <v>730</v>
      </c>
      <c r="H376" s="1">
        <v>46370</v>
      </c>
      <c r="I376" s="1">
        <v>46369</v>
      </c>
      <c r="J376">
        <v>67</v>
      </c>
      <c r="K376">
        <v>192</v>
      </c>
      <c r="L376">
        <f t="shared" si="25"/>
        <v>-1</v>
      </c>
      <c r="M376" s="6">
        <f t="shared" si="26"/>
        <v>1</v>
      </c>
      <c r="N376" s="6">
        <f t="shared" si="27"/>
        <v>0.98250336473755051</v>
      </c>
      <c r="O376" s="6">
        <f t="shared" si="28"/>
        <v>0.90821917808219177</v>
      </c>
      <c r="P376">
        <f t="shared" si="29"/>
        <v>140160</v>
      </c>
      <c r="Q376" s="6">
        <f>MIN(Table1[Unit Price])/Table1[[#This Row],[Unit Price]]</f>
        <v>2.6041666666666668E-2</v>
      </c>
      <c r="R376" s="8">
        <f>IF(Table1[[#This Row],[Delivery Delay]]&gt;0,1,0)</f>
        <v>0</v>
      </c>
      <c r="S376" s="6">
        <f>(Table1[[#This Row],[OTD]]*0.4)+(Table1[[#This Row],[Quality Rate]]*0.3)+(Table1[[#This Row],[Fill Rate]]*0.2)+(Table1[[#This Row],[Cost Score]]*0.1)</f>
        <v>0.87157059303883433</v>
      </c>
      <c r="T376">
        <f>MAX(Table1[OTD])</f>
        <v>1</v>
      </c>
      <c r="U376" t="str">
        <f>IF(Table1[[#This Row],[Vendor Score]]&gt;=90%,"Excellent",IF(Table1[[#This Row],[Vendor Score]]&gt;=75%,"Moderate","Poor"))</f>
        <v>Moderate</v>
      </c>
    </row>
    <row r="377" spans="1:21" x14ac:dyDescent="0.35">
      <c r="A377" t="s">
        <v>485</v>
      </c>
      <c r="B377" t="s">
        <v>45</v>
      </c>
      <c r="C377" t="s">
        <v>46</v>
      </c>
      <c r="D377" t="s">
        <v>33</v>
      </c>
      <c r="E377" t="s">
        <v>40</v>
      </c>
      <c r="F377">
        <v>1865</v>
      </c>
      <c r="G377">
        <v>1831</v>
      </c>
      <c r="H377" s="1">
        <v>46244</v>
      </c>
      <c r="I377" s="1">
        <v>46243</v>
      </c>
      <c r="J377">
        <v>167</v>
      </c>
      <c r="K377">
        <v>195</v>
      </c>
      <c r="L377">
        <f t="shared" si="25"/>
        <v>-1</v>
      </c>
      <c r="M377" s="6">
        <f t="shared" si="26"/>
        <v>1</v>
      </c>
      <c r="N377" s="6">
        <f t="shared" si="27"/>
        <v>0.981769436997319</v>
      </c>
      <c r="O377" s="6">
        <f t="shared" si="28"/>
        <v>0.90879300928454398</v>
      </c>
      <c r="P377">
        <f t="shared" si="29"/>
        <v>357045</v>
      </c>
      <c r="Q377" s="6">
        <f>MIN(Table1[Unit Price])/Table1[[#This Row],[Unit Price]]</f>
        <v>2.564102564102564E-2</v>
      </c>
      <c r="R377" s="8">
        <f>IF(Table1[[#This Row],[Delivery Delay]]&gt;0,1,0)</f>
        <v>0</v>
      </c>
      <c r="S377" s="6">
        <f>(Table1[[#This Row],[OTD]]*0.4)+(Table1[[#This Row],[Quality Rate]]*0.3)+(Table1[[#This Row],[Fill Rate]]*0.2)+(Table1[[#This Row],[Cost Score]]*0.1)</f>
        <v>0.87155589274892964</v>
      </c>
      <c r="T377">
        <f>MAX(Table1[OTD])</f>
        <v>1</v>
      </c>
      <c r="U377" t="str">
        <f>IF(Table1[[#This Row],[Vendor Score]]&gt;=90%,"Excellent",IF(Table1[[#This Row],[Vendor Score]]&gt;=75%,"Moderate","Poor"))</f>
        <v>Moderate</v>
      </c>
    </row>
    <row r="378" spans="1:21" x14ac:dyDescent="0.35">
      <c r="A378" t="s">
        <v>351</v>
      </c>
      <c r="B378" t="s">
        <v>45</v>
      </c>
      <c r="C378" t="s">
        <v>46</v>
      </c>
      <c r="D378" t="s">
        <v>19</v>
      </c>
      <c r="E378" t="s">
        <v>40</v>
      </c>
      <c r="F378">
        <v>1148</v>
      </c>
      <c r="G378">
        <v>1130</v>
      </c>
      <c r="H378" s="1">
        <v>46259</v>
      </c>
      <c r="I378" s="1">
        <v>46258</v>
      </c>
      <c r="J378">
        <v>105</v>
      </c>
      <c r="K378">
        <v>214</v>
      </c>
      <c r="L378">
        <f t="shared" si="25"/>
        <v>-1</v>
      </c>
      <c r="M378" s="6">
        <f t="shared" si="26"/>
        <v>1</v>
      </c>
      <c r="N378" s="6">
        <f t="shared" si="27"/>
        <v>0.98432055749128922</v>
      </c>
      <c r="O378" s="6">
        <f t="shared" si="28"/>
        <v>0.90707964601769908</v>
      </c>
      <c r="P378">
        <f t="shared" si="29"/>
        <v>241820</v>
      </c>
      <c r="Q378" s="6">
        <f>MIN(Table1[Unit Price])/Table1[[#This Row],[Unit Price]]</f>
        <v>2.336448598130841E-2</v>
      </c>
      <c r="R378" s="8">
        <f>IF(Table1[[#This Row],[Delivery Delay]]&gt;0,1,0)</f>
        <v>0</v>
      </c>
      <c r="S378" s="6">
        <f>(Table1[[#This Row],[OTD]]*0.4)+(Table1[[#This Row],[Quality Rate]]*0.3)+(Table1[[#This Row],[Fill Rate]]*0.2)+(Table1[[#This Row],[Cost Score]]*0.1)</f>
        <v>0.87132445390169855</v>
      </c>
      <c r="T378">
        <f>MAX(Table1[OTD])</f>
        <v>1</v>
      </c>
      <c r="U378" t="str">
        <f>IF(Table1[[#This Row],[Vendor Score]]&gt;=90%,"Excellent",IF(Table1[[#This Row],[Vendor Score]]&gt;=75%,"Moderate","Poor"))</f>
        <v>Moderate</v>
      </c>
    </row>
    <row r="379" spans="1:21" x14ac:dyDescent="0.35">
      <c r="A379" t="s">
        <v>371</v>
      </c>
      <c r="B379" t="s">
        <v>12</v>
      </c>
      <c r="C379" t="s">
        <v>13</v>
      </c>
      <c r="D379" t="s">
        <v>14</v>
      </c>
      <c r="E379" t="s">
        <v>57</v>
      </c>
      <c r="F379">
        <v>4064</v>
      </c>
      <c r="G379">
        <v>4060</v>
      </c>
      <c r="H379" s="1">
        <v>46320</v>
      </c>
      <c r="I379" s="1">
        <v>46320</v>
      </c>
      <c r="J379">
        <v>488</v>
      </c>
      <c r="K379">
        <v>66</v>
      </c>
      <c r="L379">
        <f t="shared" si="25"/>
        <v>0</v>
      </c>
      <c r="M379" s="6">
        <f t="shared" si="26"/>
        <v>1</v>
      </c>
      <c r="N379" s="6">
        <f t="shared" si="27"/>
        <v>0.99901574803149606</v>
      </c>
      <c r="O379" s="6">
        <f t="shared" si="28"/>
        <v>0.87980295566502464</v>
      </c>
      <c r="P379">
        <f t="shared" si="29"/>
        <v>267960</v>
      </c>
      <c r="Q379" s="6">
        <f>MIN(Table1[Unit Price])/Table1[[#This Row],[Unit Price]]</f>
        <v>7.575757575757576E-2</v>
      </c>
      <c r="R379" s="8">
        <f>IF(Table1[[#This Row],[Delivery Delay]]&gt;0,1,0)</f>
        <v>0</v>
      </c>
      <c r="S379" s="6">
        <f>(Table1[[#This Row],[OTD]]*0.4)+(Table1[[#This Row],[Quality Rate]]*0.3)+(Table1[[#This Row],[Fill Rate]]*0.2)+(Table1[[#This Row],[Cost Score]]*0.1)</f>
        <v>0.87131979388156411</v>
      </c>
      <c r="T379">
        <f>MAX(Table1[OTD])</f>
        <v>1</v>
      </c>
      <c r="U379" t="str">
        <f>IF(Table1[[#This Row],[Vendor Score]]&gt;=90%,"Excellent",IF(Table1[[#This Row],[Vendor Score]]&gt;=75%,"Moderate","Poor"))</f>
        <v>Moderate</v>
      </c>
    </row>
    <row r="380" spans="1:21" x14ac:dyDescent="0.35">
      <c r="A380" t="s">
        <v>384</v>
      </c>
      <c r="B380" t="s">
        <v>45</v>
      </c>
      <c r="C380" t="s">
        <v>46</v>
      </c>
      <c r="D380" t="s">
        <v>55</v>
      </c>
      <c r="E380" t="s">
        <v>28</v>
      </c>
      <c r="F380">
        <v>1451</v>
      </c>
      <c r="G380">
        <v>1409</v>
      </c>
      <c r="H380" s="1">
        <v>46287</v>
      </c>
      <c r="I380" s="1">
        <v>46286</v>
      </c>
      <c r="J380">
        <v>131</v>
      </c>
      <c r="K380">
        <v>101</v>
      </c>
      <c r="L380">
        <f t="shared" si="25"/>
        <v>-1</v>
      </c>
      <c r="M380" s="6">
        <f t="shared" si="26"/>
        <v>1</v>
      </c>
      <c r="N380" s="6">
        <f t="shared" si="27"/>
        <v>0.9710544452101999</v>
      </c>
      <c r="O380" s="6">
        <f t="shared" si="28"/>
        <v>0.90702625975869411</v>
      </c>
      <c r="P380">
        <f t="shared" si="29"/>
        <v>142309</v>
      </c>
      <c r="Q380" s="6">
        <f>MIN(Table1[Unit Price])/Table1[[#This Row],[Unit Price]]</f>
        <v>4.9504950495049507E-2</v>
      </c>
      <c r="R380" s="8">
        <f>IF(Table1[[#This Row],[Delivery Delay]]&gt;0,1,0)</f>
        <v>0</v>
      </c>
      <c r="S380" s="6">
        <f>(Table1[[#This Row],[OTD]]*0.4)+(Table1[[#This Row],[Quality Rate]]*0.3)+(Table1[[#This Row],[Fill Rate]]*0.2)+(Table1[[#This Row],[Cost Score]]*0.1)</f>
        <v>0.87126926201915311</v>
      </c>
      <c r="T380">
        <f>MAX(Table1[OTD])</f>
        <v>1</v>
      </c>
      <c r="U380" t="str">
        <f>IF(Table1[[#This Row],[Vendor Score]]&gt;=90%,"Excellent",IF(Table1[[#This Row],[Vendor Score]]&gt;=75%,"Moderate","Poor"))</f>
        <v>Moderate</v>
      </c>
    </row>
    <row r="381" spans="1:21" x14ac:dyDescent="0.35">
      <c r="A381" t="s">
        <v>132</v>
      </c>
      <c r="B381" t="s">
        <v>59</v>
      </c>
      <c r="C381" t="s">
        <v>60</v>
      </c>
      <c r="D381" t="s">
        <v>33</v>
      </c>
      <c r="E381" t="s">
        <v>40</v>
      </c>
      <c r="F381">
        <v>3251</v>
      </c>
      <c r="G381">
        <v>3038</v>
      </c>
      <c r="H381" s="1">
        <v>46250</v>
      </c>
      <c r="I381" s="1">
        <v>46248</v>
      </c>
      <c r="J381">
        <v>185</v>
      </c>
      <c r="K381">
        <v>197</v>
      </c>
      <c r="L381">
        <f t="shared" si="25"/>
        <v>-2</v>
      </c>
      <c r="M381" s="6">
        <f t="shared" si="26"/>
        <v>1</v>
      </c>
      <c r="N381" s="6">
        <f t="shared" si="27"/>
        <v>0.93448169793909563</v>
      </c>
      <c r="O381" s="6">
        <f t="shared" si="28"/>
        <v>0.93910467412771559</v>
      </c>
      <c r="P381">
        <f t="shared" si="29"/>
        <v>598486</v>
      </c>
      <c r="Q381" s="6">
        <f>MIN(Table1[Unit Price])/Table1[[#This Row],[Unit Price]]</f>
        <v>2.5380710659898477E-2</v>
      </c>
      <c r="R381" s="8">
        <f>IF(Table1[[#This Row],[Delivery Delay]]&gt;0,1,0)</f>
        <v>0</v>
      </c>
      <c r="S381" s="6">
        <f>(Table1[[#This Row],[OTD]]*0.4)+(Table1[[#This Row],[Quality Rate]]*0.3)+(Table1[[#This Row],[Fill Rate]]*0.2)+(Table1[[#This Row],[Cost Score]]*0.1)</f>
        <v>0.87116581289212369</v>
      </c>
      <c r="T381">
        <f>MAX(Table1[OTD])</f>
        <v>1</v>
      </c>
      <c r="U381" t="str">
        <f>IF(Table1[[#This Row],[Vendor Score]]&gt;=90%,"Excellent",IF(Table1[[#This Row],[Vendor Score]]&gt;=75%,"Moderate","Poor"))</f>
        <v>Moderate</v>
      </c>
    </row>
    <row r="382" spans="1:21" x14ac:dyDescent="0.35">
      <c r="A382" t="s">
        <v>169</v>
      </c>
      <c r="B382" t="s">
        <v>12</v>
      </c>
      <c r="C382" t="s">
        <v>13</v>
      </c>
      <c r="D382" t="s">
        <v>19</v>
      </c>
      <c r="E382" t="s">
        <v>47</v>
      </c>
      <c r="F382">
        <v>4245</v>
      </c>
      <c r="G382">
        <v>4124</v>
      </c>
      <c r="H382" s="1">
        <v>46330</v>
      </c>
      <c r="I382" s="1">
        <v>46329</v>
      </c>
      <c r="J382">
        <v>496</v>
      </c>
      <c r="K382">
        <v>40</v>
      </c>
      <c r="L382">
        <f t="shared" si="25"/>
        <v>-1</v>
      </c>
      <c r="M382" s="6">
        <f t="shared" si="26"/>
        <v>1</v>
      </c>
      <c r="N382" s="6">
        <f t="shared" si="27"/>
        <v>0.97149587750294464</v>
      </c>
      <c r="O382" s="6">
        <f t="shared" si="28"/>
        <v>0.87972841901066923</v>
      </c>
      <c r="P382">
        <f t="shared" si="29"/>
        <v>164960</v>
      </c>
      <c r="Q382" s="6">
        <f>MIN(Table1[Unit Price])/Table1[[#This Row],[Unit Price]]</f>
        <v>0.125</v>
      </c>
      <c r="R382" s="8">
        <f>IF(Table1[[#This Row],[Delivery Delay]]&gt;0,1,0)</f>
        <v>0</v>
      </c>
      <c r="S382" s="6">
        <f>(Table1[[#This Row],[OTD]]*0.4)+(Table1[[#This Row],[Quality Rate]]*0.3)+(Table1[[#This Row],[Fill Rate]]*0.2)+(Table1[[#This Row],[Cost Score]]*0.1)</f>
        <v>0.87071770120378966</v>
      </c>
      <c r="T382">
        <f>MAX(Table1[OTD])</f>
        <v>1</v>
      </c>
      <c r="U382" t="str">
        <f>IF(Table1[[#This Row],[Vendor Score]]&gt;=90%,"Excellent",IF(Table1[[#This Row],[Vendor Score]]&gt;=75%,"Moderate","Poor"))</f>
        <v>Moderate</v>
      </c>
    </row>
    <row r="383" spans="1:21" x14ac:dyDescent="0.35">
      <c r="A383" t="s">
        <v>198</v>
      </c>
      <c r="B383" t="s">
        <v>59</v>
      </c>
      <c r="C383" t="s">
        <v>60</v>
      </c>
      <c r="D383" t="s">
        <v>19</v>
      </c>
      <c r="E383" t="s">
        <v>57</v>
      </c>
      <c r="F383">
        <v>3789</v>
      </c>
      <c r="G383">
        <v>3509</v>
      </c>
      <c r="H383" s="1">
        <v>46305</v>
      </c>
      <c r="I383" s="1">
        <v>46303</v>
      </c>
      <c r="J383">
        <v>215</v>
      </c>
      <c r="K383">
        <v>133</v>
      </c>
      <c r="L383">
        <f t="shared" si="25"/>
        <v>-2</v>
      </c>
      <c r="M383" s="6">
        <f t="shared" si="26"/>
        <v>1</v>
      </c>
      <c r="N383" s="6">
        <f t="shared" si="27"/>
        <v>0.92610187384534182</v>
      </c>
      <c r="O383" s="6">
        <f t="shared" si="28"/>
        <v>0.93872898261612991</v>
      </c>
      <c r="P383">
        <f t="shared" si="29"/>
        <v>466697</v>
      </c>
      <c r="Q383" s="6">
        <f>MIN(Table1[Unit Price])/Table1[[#This Row],[Unit Price]]</f>
        <v>3.7593984962406013E-2</v>
      </c>
      <c r="R383" s="8">
        <f>IF(Table1[[#This Row],[Delivery Delay]]&gt;0,1,0)</f>
        <v>0</v>
      </c>
      <c r="S383" s="6">
        <f>(Table1[[#This Row],[OTD]]*0.4)+(Table1[[#This Row],[Quality Rate]]*0.3)+(Table1[[#This Row],[Fill Rate]]*0.2)+(Table1[[#This Row],[Cost Score]]*0.1)</f>
        <v>0.87059846805014807</v>
      </c>
      <c r="T383">
        <f>MAX(Table1[OTD])</f>
        <v>1</v>
      </c>
      <c r="U383" t="str">
        <f>IF(Table1[[#This Row],[Vendor Score]]&gt;=90%,"Excellent",IF(Table1[[#This Row],[Vendor Score]]&gt;=75%,"Moderate","Poor"))</f>
        <v>Moderate</v>
      </c>
    </row>
    <row r="384" spans="1:21" x14ac:dyDescent="0.35">
      <c r="A384" t="s">
        <v>319</v>
      </c>
      <c r="B384" t="s">
        <v>22</v>
      </c>
      <c r="C384" t="s">
        <v>23</v>
      </c>
      <c r="D384" t="s">
        <v>33</v>
      </c>
      <c r="E384" t="s">
        <v>34</v>
      </c>
      <c r="F384">
        <v>1152</v>
      </c>
      <c r="G384">
        <v>1064</v>
      </c>
      <c r="H384" s="1">
        <v>46183</v>
      </c>
      <c r="I384" s="1">
        <v>46183</v>
      </c>
      <c r="J384">
        <v>75</v>
      </c>
      <c r="K384">
        <v>73</v>
      </c>
      <c r="L384">
        <f t="shared" si="25"/>
        <v>0</v>
      </c>
      <c r="M384" s="6">
        <f t="shared" si="26"/>
        <v>1</v>
      </c>
      <c r="N384" s="6">
        <f t="shared" si="27"/>
        <v>0.92361111111111116</v>
      </c>
      <c r="O384" s="6">
        <f t="shared" si="28"/>
        <v>0.92951127819548873</v>
      </c>
      <c r="P384">
        <f t="shared" si="29"/>
        <v>77672</v>
      </c>
      <c r="Q384" s="6">
        <f>MIN(Table1[Unit Price])/Table1[[#This Row],[Unit Price]]</f>
        <v>6.8493150684931503E-2</v>
      </c>
      <c r="R384" s="8">
        <f>IF(Table1[[#This Row],[Delivery Delay]]&gt;0,1,0)</f>
        <v>0</v>
      </c>
      <c r="S384" s="6">
        <f>(Table1[[#This Row],[OTD]]*0.4)+(Table1[[#This Row],[Quality Rate]]*0.3)+(Table1[[#This Row],[Fill Rate]]*0.2)+(Table1[[#This Row],[Cost Score]]*0.1)</f>
        <v>0.87042492074936206</v>
      </c>
      <c r="T384">
        <f>MAX(Table1[OTD])</f>
        <v>1</v>
      </c>
      <c r="U384" t="str">
        <f>IF(Table1[[#This Row],[Vendor Score]]&gt;=90%,"Excellent",IF(Table1[[#This Row],[Vendor Score]]&gt;=75%,"Moderate","Poor"))</f>
        <v>Moderate</v>
      </c>
    </row>
    <row r="385" spans="1:21" x14ac:dyDescent="0.35">
      <c r="A385" t="s">
        <v>372</v>
      </c>
      <c r="B385" t="s">
        <v>45</v>
      </c>
      <c r="C385" t="s">
        <v>46</v>
      </c>
      <c r="D385" t="s">
        <v>19</v>
      </c>
      <c r="E385" t="s">
        <v>63</v>
      </c>
      <c r="F385">
        <v>3861</v>
      </c>
      <c r="G385">
        <v>3562</v>
      </c>
      <c r="H385" s="1">
        <v>46056</v>
      </c>
      <c r="I385" s="1">
        <v>46054</v>
      </c>
      <c r="J385">
        <v>326</v>
      </c>
      <c r="K385">
        <v>38</v>
      </c>
      <c r="L385">
        <f t="shared" si="25"/>
        <v>-2</v>
      </c>
      <c r="M385" s="6">
        <f t="shared" si="26"/>
        <v>1</v>
      </c>
      <c r="N385" s="6">
        <f t="shared" si="27"/>
        <v>0.92255892255892258</v>
      </c>
      <c r="O385" s="6">
        <f t="shared" si="28"/>
        <v>0.90847838293093763</v>
      </c>
      <c r="P385">
        <f t="shared" si="29"/>
        <v>135356</v>
      </c>
      <c r="Q385" s="6">
        <f>MIN(Table1[Unit Price])/Table1[[#This Row],[Unit Price]]</f>
        <v>0.13157894736842105</v>
      </c>
      <c r="R385" s="8">
        <f>IF(Table1[[#This Row],[Delivery Delay]]&gt;0,1,0)</f>
        <v>0</v>
      </c>
      <c r="S385" s="6">
        <f>(Table1[[#This Row],[OTD]]*0.4)+(Table1[[#This Row],[Quality Rate]]*0.3)+(Table1[[#This Row],[Fill Rate]]*0.2)+(Table1[[#This Row],[Cost Score]]*0.1)</f>
        <v>0.87021319412790799</v>
      </c>
      <c r="T385">
        <f>MAX(Table1[OTD])</f>
        <v>1</v>
      </c>
      <c r="U385" t="str">
        <f>IF(Table1[[#This Row],[Vendor Score]]&gt;=90%,"Excellent",IF(Table1[[#This Row],[Vendor Score]]&gt;=75%,"Moderate","Poor"))</f>
        <v>Moderate</v>
      </c>
    </row>
    <row r="386" spans="1:21" x14ac:dyDescent="0.35">
      <c r="A386" t="s">
        <v>182</v>
      </c>
      <c r="B386" t="s">
        <v>59</v>
      </c>
      <c r="C386" t="s">
        <v>60</v>
      </c>
      <c r="D386" t="s">
        <v>55</v>
      </c>
      <c r="E386" t="s">
        <v>70</v>
      </c>
      <c r="F386">
        <v>1731</v>
      </c>
      <c r="G386">
        <v>1609</v>
      </c>
      <c r="H386" s="1">
        <v>46033</v>
      </c>
      <c r="I386" s="1">
        <v>46031</v>
      </c>
      <c r="J386">
        <v>99</v>
      </c>
      <c r="K386">
        <v>190</v>
      </c>
      <c r="L386">
        <f t="shared" ref="L386:L449" si="30">I386-H386</f>
        <v>-2</v>
      </c>
      <c r="M386" s="6">
        <f t="shared" ref="M386:M449" si="31">IF(L386&lt;=0,1,0)</f>
        <v>1</v>
      </c>
      <c r="N386" s="6">
        <f t="shared" ref="N386:N449" si="32">G386/F386</f>
        <v>0.92952050837666089</v>
      </c>
      <c r="O386" s="6">
        <f t="shared" ref="O386:O449" si="33">(G386-J386)/G386</f>
        <v>0.9384711000621504</v>
      </c>
      <c r="P386">
        <f t="shared" ref="P386:P449" si="34">G386*K386</f>
        <v>305710</v>
      </c>
      <c r="Q386" s="6">
        <f>MIN(Table1[Unit Price])/Table1[[#This Row],[Unit Price]]</f>
        <v>2.6315789473684209E-2</v>
      </c>
      <c r="R386" s="8">
        <f>IF(Table1[[#This Row],[Delivery Delay]]&gt;0,1,0)</f>
        <v>0</v>
      </c>
      <c r="S386" s="6">
        <f>(Table1[[#This Row],[OTD]]*0.4)+(Table1[[#This Row],[Quality Rate]]*0.3)+(Table1[[#This Row],[Fill Rate]]*0.2)+(Table1[[#This Row],[Cost Score]]*0.1)</f>
        <v>0.87007701064134579</v>
      </c>
      <c r="T386">
        <f>MAX(Table1[OTD])</f>
        <v>1</v>
      </c>
      <c r="U386" t="str">
        <f>IF(Table1[[#This Row],[Vendor Score]]&gt;=90%,"Excellent",IF(Table1[[#This Row],[Vendor Score]]&gt;=75%,"Moderate","Poor"))</f>
        <v>Moderate</v>
      </c>
    </row>
    <row r="387" spans="1:21" x14ac:dyDescent="0.35">
      <c r="A387" t="s">
        <v>480</v>
      </c>
      <c r="B387" t="s">
        <v>22</v>
      </c>
      <c r="C387" t="s">
        <v>23</v>
      </c>
      <c r="D387" t="s">
        <v>55</v>
      </c>
      <c r="E387" t="s">
        <v>63</v>
      </c>
      <c r="F387">
        <v>1090</v>
      </c>
      <c r="G387">
        <v>1025</v>
      </c>
      <c r="H387" s="1">
        <v>46056</v>
      </c>
      <c r="I387" s="1">
        <v>46054</v>
      </c>
      <c r="J387">
        <v>75</v>
      </c>
      <c r="K387">
        <v>134</v>
      </c>
      <c r="L387">
        <f t="shared" si="30"/>
        <v>-2</v>
      </c>
      <c r="M387" s="6">
        <f t="shared" si="31"/>
        <v>1</v>
      </c>
      <c r="N387" s="6">
        <f t="shared" si="32"/>
        <v>0.94036697247706424</v>
      </c>
      <c r="O387" s="6">
        <f t="shared" si="33"/>
        <v>0.92682926829268297</v>
      </c>
      <c r="P387">
        <f t="shared" si="34"/>
        <v>137350</v>
      </c>
      <c r="Q387" s="6">
        <f>MIN(Table1[Unit Price])/Table1[[#This Row],[Unit Price]]</f>
        <v>3.7313432835820892E-2</v>
      </c>
      <c r="R387" s="8">
        <f>IF(Table1[[#This Row],[Delivery Delay]]&gt;0,1,0)</f>
        <v>0</v>
      </c>
      <c r="S387" s="6">
        <f>(Table1[[#This Row],[OTD]]*0.4)+(Table1[[#This Row],[Quality Rate]]*0.3)+(Table1[[#This Row],[Fill Rate]]*0.2)+(Table1[[#This Row],[Cost Score]]*0.1)</f>
        <v>0.8698535182667998</v>
      </c>
      <c r="T387">
        <f>MAX(Table1[OTD])</f>
        <v>1</v>
      </c>
      <c r="U387" t="str">
        <f>IF(Table1[[#This Row],[Vendor Score]]&gt;=90%,"Excellent",IF(Table1[[#This Row],[Vendor Score]]&gt;=75%,"Moderate","Poor"))</f>
        <v>Moderate</v>
      </c>
    </row>
    <row r="388" spans="1:21" x14ac:dyDescent="0.35">
      <c r="A388" t="s">
        <v>415</v>
      </c>
      <c r="B388" t="s">
        <v>59</v>
      </c>
      <c r="C388" t="s">
        <v>60</v>
      </c>
      <c r="D388" t="s">
        <v>19</v>
      </c>
      <c r="E388" t="s">
        <v>63</v>
      </c>
      <c r="F388">
        <v>4773</v>
      </c>
      <c r="G388">
        <v>4433</v>
      </c>
      <c r="H388" s="1">
        <v>46059</v>
      </c>
      <c r="I388" s="1">
        <v>46058</v>
      </c>
      <c r="J388">
        <v>271</v>
      </c>
      <c r="K388">
        <v>214</v>
      </c>
      <c r="L388">
        <f t="shared" si="30"/>
        <v>-1</v>
      </c>
      <c r="M388" s="6">
        <f t="shared" si="31"/>
        <v>1</v>
      </c>
      <c r="N388" s="6">
        <f t="shared" si="32"/>
        <v>0.92876597527760318</v>
      </c>
      <c r="O388" s="6">
        <f t="shared" si="33"/>
        <v>0.93886758402887438</v>
      </c>
      <c r="P388">
        <f t="shared" si="34"/>
        <v>948662</v>
      </c>
      <c r="Q388" s="6">
        <f>MIN(Table1[Unit Price])/Table1[[#This Row],[Unit Price]]</f>
        <v>2.336448598130841E-2</v>
      </c>
      <c r="R388" s="8">
        <f>IF(Table1[[#This Row],[Delivery Delay]]&gt;0,1,0)</f>
        <v>0</v>
      </c>
      <c r="S388" s="6">
        <f>(Table1[[#This Row],[OTD]]*0.4)+(Table1[[#This Row],[Quality Rate]]*0.3)+(Table1[[#This Row],[Fill Rate]]*0.2)+(Table1[[#This Row],[Cost Score]]*0.1)</f>
        <v>0.8697499188623139</v>
      </c>
      <c r="T388">
        <f>MAX(Table1[OTD])</f>
        <v>1</v>
      </c>
      <c r="U388" t="str">
        <f>IF(Table1[[#This Row],[Vendor Score]]&gt;=90%,"Excellent",IF(Table1[[#This Row],[Vendor Score]]&gt;=75%,"Moderate","Poor"))</f>
        <v>Moderate</v>
      </c>
    </row>
    <row r="389" spans="1:21" x14ac:dyDescent="0.35">
      <c r="A389" t="s">
        <v>234</v>
      </c>
      <c r="B389" t="s">
        <v>59</v>
      </c>
      <c r="C389" t="s">
        <v>60</v>
      </c>
      <c r="D389" t="s">
        <v>19</v>
      </c>
      <c r="E389" t="s">
        <v>96</v>
      </c>
      <c r="F389">
        <v>1510</v>
      </c>
      <c r="G389">
        <v>1392</v>
      </c>
      <c r="H389" s="1">
        <v>46119</v>
      </c>
      <c r="I389" s="1">
        <v>46119</v>
      </c>
      <c r="J389">
        <v>85</v>
      </c>
      <c r="K389">
        <v>145</v>
      </c>
      <c r="L389">
        <f t="shared" si="30"/>
        <v>0</v>
      </c>
      <c r="M389" s="6">
        <f t="shared" si="31"/>
        <v>1</v>
      </c>
      <c r="N389" s="6">
        <f t="shared" si="32"/>
        <v>0.92185430463576157</v>
      </c>
      <c r="O389" s="6">
        <f t="shared" si="33"/>
        <v>0.93893678160919536</v>
      </c>
      <c r="P389">
        <f t="shared" si="34"/>
        <v>201840</v>
      </c>
      <c r="Q389" s="6">
        <f>MIN(Table1[Unit Price])/Table1[[#This Row],[Unit Price]]</f>
        <v>3.4482758620689655E-2</v>
      </c>
      <c r="R389" s="8">
        <f>IF(Table1[[#This Row],[Delivery Delay]]&gt;0,1,0)</f>
        <v>0</v>
      </c>
      <c r="S389" s="6">
        <f>(Table1[[#This Row],[OTD]]*0.4)+(Table1[[#This Row],[Quality Rate]]*0.3)+(Table1[[#This Row],[Fill Rate]]*0.2)+(Table1[[#This Row],[Cost Score]]*0.1)</f>
        <v>0.86950017127197998</v>
      </c>
      <c r="T389">
        <f>MAX(Table1[OTD])</f>
        <v>1</v>
      </c>
      <c r="U389" t="str">
        <f>IF(Table1[[#This Row],[Vendor Score]]&gt;=90%,"Excellent",IF(Table1[[#This Row],[Vendor Score]]&gt;=75%,"Moderate","Poor"))</f>
        <v>Moderate</v>
      </c>
    </row>
    <row r="390" spans="1:21" x14ac:dyDescent="0.35">
      <c r="A390" t="s">
        <v>72</v>
      </c>
      <c r="B390" t="s">
        <v>45</v>
      </c>
      <c r="C390" t="s">
        <v>46</v>
      </c>
      <c r="D390" t="s">
        <v>19</v>
      </c>
      <c r="E390" t="s">
        <v>15</v>
      </c>
      <c r="F390">
        <v>3882</v>
      </c>
      <c r="G390">
        <v>3752</v>
      </c>
      <c r="H390" s="1">
        <v>46386</v>
      </c>
      <c r="I390" s="1">
        <v>46384</v>
      </c>
      <c r="J390">
        <v>340</v>
      </c>
      <c r="K390">
        <v>161</v>
      </c>
      <c r="L390">
        <f t="shared" si="30"/>
        <v>-2</v>
      </c>
      <c r="M390" s="6">
        <f t="shared" si="31"/>
        <v>1</v>
      </c>
      <c r="N390" s="6">
        <f t="shared" si="32"/>
        <v>0.96651210716125713</v>
      </c>
      <c r="O390" s="6">
        <f t="shared" si="33"/>
        <v>0.90938166311300639</v>
      </c>
      <c r="P390">
        <f t="shared" si="34"/>
        <v>604072</v>
      </c>
      <c r="Q390" s="6">
        <f>MIN(Table1[Unit Price])/Table1[[#This Row],[Unit Price]]</f>
        <v>3.1055900621118012E-2</v>
      </c>
      <c r="R390" s="8">
        <f>IF(Table1[[#This Row],[Delivery Delay]]&gt;0,1,0)</f>
        <v>0</v>
      </c>
      <c r="S390" s="6">
        <f>(Table1[[#This Row],[OTD]]*0.4)+(Table1[[#This Row],[Quality Rate]]*0.3)+(Table1[[#This Row],[Fill Rate]]*0.2)+(Table1[[#This Row],[Cost Score]]*0.1)</f>
        <v>0.86922251042826515</v>
      </c>
      <c r="T390">
        <f>MAX(Table1[OTD])</f>
        <v>1</v>
      </c>
      <c r="U390" t="str">
        <f>IF(Table1[[#This Row],[Vendor Score]]&gt;=90%,"Excellent",IF(Table1[[#This Row],[Vendor Score]]&gt;=75%,"Moderate","Poor"))</f>
        <v>Moderate</v>
      </c>
    </row>
    <row r="391" spans="1:21" x14ac:dyDescent="0.35">
      <c r="A391" t="s">
        <v>237</v>
      </c>
      <c r="B391" t="s">
        <v>45</v>
      </c>
      <c r="C391" t="s">
        <v>46</v>
      </c>
      <c r="D391" t="s">
        <v>19</v>
      </c>
      <c r="E391" t="s">
        <v>57</v>
      </c>
      <c r="F391">
        <v>1736</v>
      </c>
      <c r="G391">
        <v>1670</v>
      </c>
      <c r="H391" s="1">
        <v>46296</v>
      </c>
      <c r="I391" s="1">
        <v>46295</v>
      </c>
      <c r="J391">
        <v>153</v>
      </c>
      <c r="K391">
        <v>119</v>
      </c>
      <c r="L391">
        <f t="shared" si="30"/>
        <v>-1</v>
      </c>
      <c r="M391" s="6">
        <f t="shared" si="31"/>
        <v>1</v>
      </c>
      <c r="N391" s="6">
        <f t="shared" si="32"/>
        <v>0.96198156682027647</v>
      </c>
      <c r="O391" s="6">
        <f t="shared" si="33"/>
        <v>0.90838323353293415</v>
      </c>
      <c r="P391">
        <f t="shared" si="34"/>
        <v>198730</v>
      </c>
      <c r="Q391" s="6">
        <f>MIN(Table1[Unit Price])/Table1[[#This Row],[Unit Price]]</f>
        <v>4.2016806722689079E-2</v>
      </c>
      <c r="R391" s="8">
        <f>IF(Table1[[#This Row],[Delivery Delay]]&gt;0,1,0)</f>
        <v>0</v>
      </c>
      <c r="S391" s="6">
        <f>(Table1[[#This Row],[OTD]]*0.4)+(Table1[[#This Row],[Quality Rate]]*0.3)+(Table1[[#This Row],[Fill Rate]]*0.2)+(Table1[[#This Row],[Cost Score]]*0.1)</f>
        <v>0.86911296409620442</v>
      </c>
      <c r="T391">
        <f>MAX(Table1[OTD])</f>
        <v>1</v>
      </c>
      <c r="U391" t="str">
        <f>IF(Table1[[#This Row],[Vendor Score]]&gt;=90%,"Excellent",IF(Table1[[#This Row],[Vendor Score]]&gt;=75%,"Moderate","Poor"))</f>
        <v>Moderate</v>
      </c>
    </row>
    <row r="392" spans="1:21" x14ac:dyDescent="0.35">
      <c r="A392" t="s">
        <v>473</v>
      </c>
      <c r="B392" t="s">
        <v>12</v>
      </c>
      <c r="C392" t="s">
        <v>13</v>
      </c>
      <c r="D392" t="s">
        <v>19</v>
      </c>
      <c r="E392" t="s">
        <v>63</v>
      </c>
      <c r="F392">
        <v>3409</v>
      </c>
      <c r="G392">
        <v>3312</v>
      </c>
      <c r="H392" s="1">
        <v>46056</v>
      </c>
      <c r="I392" s="1">
        <v>46054</v>
      </c>
      <c r="J392">
        <v>401</v>
      </c>
      <c r="K392">
        <v>46</v>
      </c>
      <c r="L392">
        <f t="shared" si="30"/>
        <v>-2</v>
      </c>
      <c r="M392" s="6">
        <f t="shared" si="31"/>
        <v>1</v>
      </c>
      <c r="N392" s="6">
        <f t="shared" si="32"/>
        <v>0.97154590789087714</v>
      </c>
      <c r="O392" s="6">
        <f t="shared" si="33"/>
        <v>0.87892512077294682</v>
      </c>
      <c r="P392">
        <f t="shared" si="34"/>
        <v>152352</v>
      </c>
      <c r="Q392" s="6">
        <f>MIN(Table1[Unit Price])/Table1[[#This Row],[Unit Price]]</f>
        <v>0.10869565217391304</v>
      </c>
      <c r="R392" s="8">
        <f>IF(Table1[[#This Row],[Delivery Delay]]&gt;0,1,0)</f>
        <v>0</v>
      </c>
      <c r="S392" s="6">
        <f>(Table1[[#This Row],[OTD]]*0.4)+(Table1[[#This Row],[Quality Rate]]*0.3)+(Table1[[#This Row],[Fill Rate]]*0.2)+(Table1[[#This Row],[Cost Score]]*0.1)</f>
        <v>0.86885628302745088</v>
      </c>
      <c r="T392">
        <f>MAX(Table1[OTD])</f>
        <v>1</v>
      </c>
      <c r="U392" t="str">
        <f>IF(Table1[[#This Row],[Vendor Score]]&gt;=90%,"Excellent",IF(Table1[[#This Row],[Vendor Score]]&gt;=75%,"Moderate","Poor"))</f>
        <v>Moderate</v>
      </c>
    </row>
    <row r="393" spans="1:21" x14ac:dyDescent="0.35">
      <c r="A393" t="s">
        <v>449</v>
      </c>
      <c r="B393" t="s">
        <v>59</v>
      </c>
      <c r="C393" t="s">
        <v>60</v>
      </c>
      <c r="D393" t="s">
        <v>33</v>
      </c>
      <c r="E393" t="s">
        <v>57</v>
      </c>
      <c r="F393">
        <v>2428</v>
      </c>
      <c r="G393">
        <v>2234</v>
      </c>
      <c r="H393" s="1">
        <v>46318</v>
      </c>
      <c r="I393" s="1">
        <v>46318</v>
      </c>
      <c r="J393">
        <v>135</v>
      </c>
      <c r="K393">
        <v>174</v>
      </c>
      <c r="L393">
        <f t="shared" si="30"/>
        <v>0</v>
      </c>
      <c r="M393" s="6">
        <f t="shared" si="31"/>
        <v>1</v>
      </c>
      <c r="N393" s="6">
        <f t="shared" si="32"/>
        <v>0.92009884678747944</v>
      </c>
      <c r="O393" s="6">
        <f t="shared" si="33"/>
        <v>0.93957027752909583</v>
      </c>
      <c r="P393">
        <f t="shared" si="34"/>
        <v>388716</v>
      </c>
      <c r="Q393" s="6">
        <f>MIN(Table1[Unit Price])/Table1[[#This Row],[Unit Price]]</f>
        <v>2.8735632183908046E-2</v>
      </c>
      <c r="R393" s="8">
        <f>IF(Table1[[#This Row],[Delivery Delay]]&gt;0,1,0)</f>
        <v>0</v>
      </c>
      <c r="S393" s="6">
        <f>(Table1[[#This Row],[OTD]]*0.4)+(Table1[[#This Row],[Quality Rate]]*0.3)+(Table1[[#This Row],[Fill Rate]]*0.2)+(Table1[[#This Row],[Cost Score]]*0.1)</f>
        <v>0.86876441583461539</v>
      </c>
      <c r="T393">
        <f>MAX(Table1[OTD])</f>
        <v>1</v>
      </c>
      <c r="U393" t="str">
        <f>IF(Table1[[#This Row],[Vendor Score]]&gt;=90%,"Excellent",IF(Table1[[#This Row],[Vendor Score]]&gt;=75%,"Moderate","Poor"))</f>
        <v>Moderate</v>
      </c>
    </row>
    <row r="394" spans="1:21" x14ac:dyDescent="0.35">
      <c r="A394" t="s">
        <v>171</v>
      </c>
      <c r="B394" t="s">
        <v>45</v>
      </c>
      <c r="C394" t="s">
        <v>46</v>
      </c>
      <c r="D394" t="s">
        <v>14</v>
      </c>
      <c r="E394" t="s">
        <v>96</v>
      </c>
      <c r="F394">
        <v>438</v>
      </c>
      <c r="G394">
        <v>409</v>
      </c>
      <c r="H394" s="1">
        <v>46116</v>
      </c>
      <c r="I394" s="1">
        <v>46116</v>
      </c>
      <c r="J394">
        <v>39</v>
      </c>
      <c r="K394">
        <v>48</v>
      </c>
      <c r="L394">
        <f t="shared" si="30"/>
        <v>0</v>
      </c>
      <c r="M394" s="6">
        <f t="shared" si="31"/>
        <v>1</v>
      </c>
      <c r="N394" s="6">
        <f t="shared" si="32"/>
        <v>0.93378995433789957</v>
      </c>
      <c r="O394" s="6">
        <f t="shared" si="33"/>
        <v>0.90464547677261609</v>
      </c>
      <c r="P394">
        <f t="shared" si="34"/>
        <v>19632</v>
      </c>
      <c r="Q394" s="6">
        <f>MIN(Table1[Unit Price])/Table1[[#This Row],[Unit Price]]</f>
        <v>0.10416666666666667</v>
      </c>
      <c r="R394" s="8">
        <f>IF(Table1[[#This Row],[Delivery Delay]]&gt;0,1,0)</f>
        <v>0</v>
      </c>
      <c r="S394" s="6">
        <f>(Table1[[#This Row],[OTD]]*0.4)+(Table1[[#This Row],[Quality Rate]]*0.3)+(Table1[[#This Row],[Fill Rate]]*0.2)+(Table1[[#This Row],[Cost Score]]*0.1)</f>
        <v>0.8685683005660314</v>
      </c>
      <c r="T394">
        <f>MAX(Table1[OTD])</f>
        <v>1</v>
      </c>
      <c r="U394" t="str">
        <f>IF(Table1[[#This Row],[Vendor Score]]&gt;=90%,"Excellent",IF(Table1[[#This Row],[Vendor Score]]&gt;=75%,"Moderate","Poor"))</f>
        <v>Moderate</v>
      </c>
    </row>
    <row r="395" spans="1:21" x14ac:dyDescent="0.35">
      <c r="A395" t="s">
        <v>261</v>
      </c>
      <c r="B395" t="s">
        <v>45</v>
      </c>
      <c r="C395" t="s">
        <v>46</v>
      </c>
      <c r="D395" t="s">
        <v>14</v>
      </c>
      <c r="E395" t="s">
        <v>15</v>
      </c>
      <c r="F395">
        <v>3926</v>
      </c>
      <c r="G395">
        <v>3787</v>
      </c>
      <c r="H395" s="1">
        <v>46364</v>
      </c>
      <c r="I395" s="1">
        <v>46364</v>
      </c>
      <c r="J395">
        <v>343</v>
      </c>
      <c r="K395">
        <v>225</v>
      </c>
      <c r="L395">
        <f t="shared" si="30"/>
        <v>0</v>
      </c>
      <c r="M395" s="6">
        <f t="shared" si="31"/>
        <v>1</v>
      </c>
      <c r="N395" s="6">
        <f t="shared" si="32"/>
        <v>0.9645950076413653</v>
      </c>
      <c r="O395" s="6">
        <f t="shared" si="33"/>
        <v>0.90942698706099812</v>
      </c>
      <c r="P395">
        <f t="shared" si="34"/>
        <v>852075</v>
      </c>
      <c r="Q395" s="6">
        <f>MIN(Table1[Unit Price])/Table1[[#This Row],[Unit Price]]</f>
        <v>2.2222222222222223E-2</v>
      </c>
      <c r="R395" s="8">
        <f>IF(Table1[[#This Row],[Delivery Delay]]&gt;0,1,0)</f>
        <v>0</v>
      </c>
      <c r="S395" s="6">
        <f>(Table1[[#This Row],[OTD]]*0.4)+(Table1[[#This Row],[Quality Rate]]*0.3)+(Table1[[#This Row],[Fill Rate]]*0.2)+(Table1[[#This Row],[Cost Score]]*0.1)</f>
        <v>0.86796931986879489</v>
      </c>
      <c r="T395">
        <f>MAX(Table1[OTD])</f>
        <v>1</v>
      </c>
      <c r="U395" t="str">
        <f>IF(Table1[[#This Row],[Vendor Score]]&gt;=90%,"Excellent",IF(Table1[[#This Row],[Vendor Score]]&gt;=75%,"Moderate","Poor"))</f>
        <v>Moderate</v>
      </c>
    </row>
    <row r="396" spans="1:21" x14ac:dyDescent="0.35">
      <c r="A396" t="s">
        <v>338</v>
      </c>
      <c r="B396" t="s">
        <v>22</v>
      </c>
      <c r="C396" t="s">
        <v>23</v>
      </c>
      <c r="D396" t="s">
        <v>19</v>
      </c>
      <c r="E396" t="s">
        <v>57</v>
      </c>
      <c r="F396">
        <v>3228</v>
      </c>
      <c r="G396">
        <v>3013</v>
      </c>
      <c r="H396" s="1">
        <v>46305</v>
      </c>
      <c r="I396" s="1">
        <v>46303</v>
      </c>
      <c r="J396">
        <v>214</v>
      </c>
      <c r="K396">
        <v>202</v>
      </c>
      <c r="L396">
        <f t="shared" si="30"/>
        <v>-2</v>
      </c>
      <c r="M396" s="6">
        <f t="shared" si="31"/>
        <v>1</v>
      </c>
      <c r="N396" s="6">
        <f t="shared" si="32"/>
        <v>0.93339529120198261</v>
      </c>
      <c r="O396" s="6">
        <f t="shared" si="33"/>
        <v>0.92897444407567209</v>
      </c>
      <c r="P396">
        <f t="shared" si="34"/>
        <v>608626</v>
      </c>
      <c r="Q396" s="6">
        <f>MIN(Table1[Unit Price])/Table1[[#This Row],[Unit Price]]</f>
        <v>2.4752475247524754E-2</v>
      </c>
      <c r="R396" s="8">
        <f>IF(Table1[[#This Row],[Delivery Delay]]&gt;0,1,0)</f>
        <v>0</v>
      </c>
      <c r="S396" s="6">
        <f>(Table1[[#This Row],[OTD]]*0.4)+(Table1[[#This Row],[Quality Rate]]*0.3)+(Table1[[#This Row],[Fill Rate]]*0.2)+(Table1[[#This Row],[Cost Score]]*0.1)</f>
        <v>0.86784663898785064</v>
      </c>
      <c r="T396">
        <f>MAX(Table1[OTD])</f>
        <v>1</v>
      </c>
      <c r="U396" t="str">
        <f>IF(Table1[[#This Row],[Vendor Score]]&gt;=90%,"Excellent",IF(Table1[[#This Row],[Vendor Score]]&gt;=75%,"Moderate","Poor"))</f>
        <v>Moderate</v>
      </c>
    </row>
    <row r="397" spans="1:21" x14ac:dyDescent="0.35">
      <c r="A397" t="s">
        <v>388</v>
      </c>
      <c r="B397" t="s">
        <v>12</v>
      </c>
      <c r="C397" t="s">
        <v>13</v>
      </c>
      <c r="D397" t="s">
        <v>55</v>
      </c>
      <c r="E397" t="s">
        <v>24</v>
      </c>
      <c r="F397">
        <v>665</v>
      </c>
      <c r="G397">
        <v>665</v>
      </c>
      <c r="H397" s="1">
        <v>46145</v>
      </c>
      <c r="I397" s="1">
        <v>46145</v>
      </c>
      <c r="J397">
        <v>82</v>
      </c>
      <c r="K397">
        <v>106</v>
      </c>
      <c r="L397">
        <f t="shared" si="30"/>
        <v>0</v>
      </c>
      <c r="M397" s="6">
        <f t="shared" si="31"/>
        <v>1</v>
      </c>
      <c r="N397" s="6">
        <f t="shared" si="32"/>
        <v>1</v>
      </c>
      <c r="O397" s="6">
        <f t="shared" si="33"/>
        <v>0.8766917293233083</v>
      </c>
      <c r="P397">
        <f t="shared" si="34"/>
        <v>70490</v>
      </c>
      <c r="Q397" s="6">
        <f>MIN(Table1[Unit Price])/Table1[[#This Row],[Unit Price]]</f>
        <v>4.716981132075472E-2</v>
      </c>
      <c r="R397" s="8">
        <f>IF(Table1[[#This Row],[Delivery Delay]]&gt;0,1,0)</f>
        <v>0</v>
      </c>
      <c r="S397" s="6">
        <f>(Table1[[#This Row],[OTD]]*0.4)+(Table1[[#This Row],[Quality Rate]]*0.3)+(Table1[[#This Row],[Fill Rate]]*0.2)+(Table1[[#This Row],[Cost Score]]*0.1)</f>
        <v>0.86772449992906808</v>
      </c>
      <c r="T397">
        <f>MAX(Table1[OTD])</f>
        <v>1</v>
      </c>
      <c r="U397" t="str">
        <f>IF(Table1[[#This Row],[Vendor Score]]&gt;=90%,"Excellent",IF(Table1[[#This Row],[Vendor Score]]&gt;=75%,"Moderate","Poor"))</f>
        <v>Moderate</v>
      </c>
    </row>
    <row r="398" spans="1:21" x14ac:dyDescent="0.35">
      <c r="A398" t="s">
        <v>377</v>
      </c>
      <c r="B398" t="s">
        <v>45</v>
      </c>
      <c r="C398" t="s">
        <v>46</v>
      </c>
      <c r="D398" t="s">
        <v>14</v>
      </c>
      <c r="E398" t="s">
        <v>15</v>
      </c>
      <c r="F398">
        <v>3413</v>
      </c>
      <c r="G398">
        <v>3157</v>
      </c>
      <c r="H398" s="1">
        <v>46387</v>
      </c>
      <c r="I398" s="1">
        <v>46387</v>
      </c>
      <c r="J398">
        <v>287</v>
      </c>
      <c r="K398">
        <v>51</v>
      </c>
      <c r="L398">
        <f t="shared" si="30"/>
        <v>0</v>
      </c>
      <c r="M398" s="6">
        <f t="shared" si="31"/>
        <v>1</v>
      </c>
      <c r="N398" s="6">
        <f t="shared" si="32"/>
        <v>0.92499267506592442</v>
      </c>
      <c r="O398" s="6">
        <f t="shared" si="33"/>
        <v>0.90909090909090906</v>
      </c>
      <c r="P398">
        <f t="shared" si="34"/>
        <v>161007</v>
      </c>
      <c r="Q398" s="6">
        <f>MIN(Table1[Unit Price])/Table1[[#This Row],[Unit Price]]</f>
        <v>9.8039215686274508E-2</v>
      </c>
      <c r="R398" s="8">
        <f>IF(Table1[[#This Row],[Delivery Delay]]&gt;0,1,0)</f>
        <v>0</v>
      </c>
      <c r="S398" s="6">
        <f>(Table1[[#This Row],[OTD]]*0.4)+(Table1[[#This Row],[Quality Rate]]*0.3)+(Table1[[#This Row],[Fill Rate]]*0.2)+(Table1[[#This Row],[Cost Score]]*0.1)</f>
        <v>0.86752972930908501</v>
      </c>
      <c r="T398">
        <f>MAX(Table1[OTD])</f>
        <v>1</v>
      </c>
      <c r="U398" t="str">
        <f>IF(Table1[[#This Row],[Vendor Score]]&gt;=90%,"Excellent",IF(Table1[[#This Row],[Vendor Score]]&gt;=75%,"Moderate","Poor"))</f>
        <v>Moderate</v>
      </c>
    </row>
    <row r="399" spans="1:21" x14ac:dyDescent="0.35">
      <c r="A399" t="s">
        <v>205</v>
      </c>
      <c r="B399" t="s">
        <v>12</v>
      </c>
      <c r="C399" t="s">
        <v>13</v>
      </c>
      <c r="D399" t="s">
        <v>19</v>
      </c>
      <c r="E399" t="s">
        <v>96</v>
      </c>
      <c r="F399">
        <v>3310</v>
      </c>
      <c r="G399">
        <v>3302</v>
      </c>
      <c r="H399" s="1">
        <v>46132</v>
      </c>
      <c r="I399" s="1">
        <v>46132</v>
      </c>
      <c r="J399">
        <v>399</v>
      </c>
      <c r="K399">
        <v>124</v>
      </c>
      <c r="L399">
        <f t="shared" si="30"/>
        <v>0</v>
      </c>
      <c r="M399" s="6">
        <f t="shared" si="31"/>
        <v>1</v>
      </c>
      <c r="N399" s="6">
        <f t="shared" si="32"/>
        <v>0.99758308157099695</v>
      </c>
      <c r="O399" s="6">
        <f t="shared" si="33"/>
        <v>0.87916414294367051</v>
      </c>
      <c r="P399">
        <f t="shared" si="34"/>
        <v>409448</v>
      </c>
      <c r="Q399" s="6">
        <f>MIN(Table1[Unit Price])/Table1[[#This Row],[Unit Price]]</f>
        <v>4.0322580645161289E-2</v>
      </c>
      <c r="R399" s="8">
        <f>IF(Table1[[#This Row],[Delivery Delay]]&gt;0,1,0)</f>
        <v>0</v>
      </c>
      <c r="S399" s="6">
        <f>(Table1[[#This Row],[OTD]]*0.4)+(Table1[[#This Row],[Quality Rate]]*0.3)+(Table1[[#This Row],[Fill Rate]]*0.2)+(Table1[[#This Row],[Cost Score]]*0.1)</f>
        <v>0.8672981172618166</v>
      </c>
      <c r="T399">
        <f>MAX(Table1[OTD])</f>
        <v>1</v>
      </c>
      <c r="U399" t="str">
        <f>IF(Table1[[#This Row],[Vendor Score]]&gt;=90%,"Excellent",IF(Table1[[#This Row],[Vendor Score]]&gt;=75%,"Moderate","Poor"))</f>
        <v>Moderate</v>
      </c>
    </row>
    <row r="400" spans="1:21" x14ac:dyDescent="0.35">
      <c r="A400" t="s">
        <v>373</v>
      </c>
      <c r="B400" t="s">
        <v>22</v>
      </c>
      <c r="C400" t="s">
        <v>23</v>
      </c>
      <c r="D400" t="s">
        <v>33</v>
      </c>
      <c r="E400" t="s">
        <v>47</v>
      </c>
      <c r="F400">
        <v>4849</v>
      </c>
      <c r="G400">
        <v>4499</v>
      </c>
      <c r="H400" s="1">
        <v>46343</v>
      </c>
      <c r="I400" s="1">
        <v>46342</v>
      </c>
      <c r="J400">
        <v>316</v>
      </c>
      <c r="K400">
        <v>189</v>
      </c>
      <c r="L400">
        <f t="shared" si="30"/>
        <v>-1</v>
      </c>
      <c r="M400" s="6">
        <f t="shared" si="31"/>
        <v>1</v>
      </c>
      <c r="N400" s="6">
        <f t="shared" si="32"/>
        <v>0.92782016910703236</v>
      </c>
      <c r="O400" s="6">
        <f t="shared" si="33"/>
        <v>0.92976216937097134</v>
      </c>
      <c r="P400">
        <f t="shared" si="34"/>
        <v>850311</v>
      </c>
      <c r="Q400" s="6">
        <f>MIN(Table1[Unit Price])/Table1[[#This Row],[Unit Price]]</f>
        <v>2.6455026455026454E-2</v>
      </c>
      <c r="R400" s="8">
        <f>IF(Table1[[#This Row],[Delivery Delay]]&gt;0,1,0)</f>
        <v>0</v>
      </c>
      <c r="S400" s="6">
        <f>(Table1[[#This Row],[OTD]]*0.4)+(Table1[[#This Row],[Quality Rate]]*0.3)+(Table1[[#This Row],[Fill Rate]]*0.2)+(Table1[[#This Row],[Cost Score]]*0.1)</f>
        <v>0.86713818727820058</v>
      </c>
      <c r="T400">
        <f>MAX(Table1[OTD])</f>
        <v>1</v>
      </c>
      <c r="U400" t="str">
        <f>IF(Table1[[#This Row],[Vendor Score]]&gt;=90%,"Excellent",IF(Table1[[#This Row],[Vendor Score]]&gt;=75%,"Moderate","Poor"))</f>
        <v>Moderate</v>
      </c>
    </row>
    <row r="401" spans="1:21" x14ac:dyDescent="0.35">
      <c r="A401" t="s">
        <v>130</v>
      </c>
      <c r="B401" t="s">
        <v>22</v>
      </c>
      <c r="C401" t="s">
        <v>23</v>
      </c>
      <c r="D401" t="s">
        <v>33</v>
      </c>
      <c r="E401" t="s">
        <v>96</v>
      </c>
      <c r="F401">
        <v>3420</v>
      </c>
      <c r="G401">
        <v>3188</v>
      </c>
      <c r="H401" s="1">
        <v>46128</v>
      </c>
      <c r="I401" s="1">
        <v>46128</v>
      </c>
      <c r="J401">
        <v>229</v>
      </c>
      <c r="K401">
        <v>242</v>
      </c>
      <c r="L401">
        <f t="shared" si="30"/>
        <v>0</v>
      </c>
      <c r="M401" s="6">
        <f t="shared" si="31"/>
        <v>1</v>
      </c>
      <c r="N401" s="6">
        <f t="shared" si="32"/>
        <v>0.93216374269005853</v>
      </c>
      <c r="O401" s="6">
        <f t="shared" si="33"/>
        <v>0.928168130489335</v>
      </c>
      <c r="P401">
        <f t="shared" si="34"/>
        <v>771496</v>
      </c>
      <c r="Q401" s="6">
        <f>MIN(Table1[Unit Price])/Table1[[#This Row],[Unit Price]]</f>
        <v>2.0661157024793389E-2</v>
      </c>
      <c r="R401" s="8">
        <f>IF(Table1[[#This Row],[Delivery Delay]]&gt;0,1,0)</f>
        <v>0</v>
      </c>
      <c r="S401" s="6">
        <f>(Table1[[#This Row],[OTD]]*0.4)+(Table1[[#This Row],[Quality Rate]]*0.3)+(Table1[[#This Row],[Fill Rate]]*0.2)+(Table1[[#This Row],[Cost Score]]*0.1)</f>
        <v>0.86694930338729159</v>
      </c>
      <c r="T401">
        <f>MAX(Table1[OTD])</f>
        <v>1</v>
      </c>
      <c r="U401" t="str">
        <f>IF(Table1[[#This Row],[Vendor Score]]&gt;=90%,"Excellent",IF(Table1[[#This Row],[Vendor Score]]&gt;=75%,"Moderate","Poor"))</f>
        <v>Moderate</v>
      </c>
    </row>
    <row r="402" spans="1:21" x14ac:dyDescent="0.35">
      <c r="A402" t="s">
        <v>255</v>
      </c>
      <c r="B402" t="s">
        <v>45</v>
      </c>
      <c r="C402" t="s">
        <v>46</v>
      </c>
      <c r="D402" t="s">
        <v>33</v>
      </c>
      <c r="E402" t="s">
        <v>52</v>
      </c>
      <c r="F402">
        <v>2700</v>
      </c>
      <c r="G402">
        <v>2597</v>
      </c>
      <c r="H402" s="1">
        <v>46111</v>
      </c>
      <c r="I402" s="1">
        <v>46110</v>
      </c>
      <c r="J402">
        <v>238</v>
      </c>
      <c r="K402">
        <v>248</v>
      </c>
      <c r="L402">
        <f t="shared" si="30"/>
        <v>-1</v>
      </c>
      <c r="M402" s="6">
        <f t="shared" si="31"/>
        <v>1</v>
      </c>
      <c r="N402" s="6">
        <f t="shared" si="32"/>
        <v>0.96185185185185185</v>
      </c>
      <c r="O402" s="6">
        <f t="shared" si="33"/>
        <v>0.90835579514824794</v>
      </c>
      <c r="P402">
        <f t="shared" si="34"/>
        <v>644056</v>
      </c>
      <c r="Q402" s="6">
        <f>MIN(Table1[Unit Price])/Table1[[#This Row],[Unit Price]]</f>
        <v>2.0161290322580645E-2</v>
      </c>
      <c r="R402" s="8">
        <f>IF(Table1[[#This Row],[Delivery Delay]]&gt;0,1,0)</f>
        <v>0</v>
      </c>
      <c r="S402" s="6">
        <f>(Table1[[#This Row],[OTD]]*0.4)+(Table1[[#This Row],[Quality Rate]]*0.3)+(Table1[[#This Row],[Fill Rate]]*0.2)+(Table1[[#This Row],[Cost Score]]*0.1)</f>
        <v>0.86689323794710293</v>
      </c>
      <c r="T402">
        <f>MAX(Table1[OTD])</f>
        <v>1</v>
      </c>
      <c r="U402" t="str">
        <f>IF(Table1[[#This Row],[Vendor Score]]&gt;=90%,"Excellent",IF(Table1[[#This Row],[Vendor Score]]&gt;=75%,"Moderate","Poor"))</f>
        <v>Moderate</v>
      </c>
    </row>
    <row r="403" spans="1:21" x14ac:dyDescent="0.35">
      <c r="A403" t="s">
        <v>375</v>
      </c>
      <c r="B403" t="s">
        <v>12</v>
      </c>
      <c r="C403" t="s">
        <v>13</v>
      </c>
      <c r="D403" t="s">
        <v>19</v>
      </c>
      <c r="E403" t="s">
        <v>52</v>
      </c>
      <c r="F403">
        <v>1833</v>
      </c>
      <c r="G403">
        <v>1821</v>
      </c>
      <c r="H403" s="1">
        <v>46097</v>
      </c>
      <c r="I403" s="1">
        <v>46096</v>
      </c>
      <c r="J403">
        <v>219</v>
      </c>
      <c r="K403">
        <v>131</v>
      </c>
      <c r="L403">
        <f t="shared" si="30"/>
        <v>-1</v>
      </c>
      <c r="M403" s="6">
        <f t="shared" si="31"/>
        <v>1</v>
      </c>
      <c r="N403" s="6">
        <f t="shared" si="32"/>
        <v>0.99345335515548283</v>
      </c>
      <c r="O403" s="6">
        <f t="shared" si="33"/>
        <v>0.87973640856672153</v>
      </c>
      <c r="P403">
        <f t="shared" si="34"/>
        <v>238551</v>
      </c>
      <c r="Q403" s="6">
        <f>MIN(Table1[Unit Price])/Table1[[#This Row],[Unit Price]]</f>
        <v>3.8167938931297711E-2</v>
      </c>
      <c r="R403" s="8">
        <f>IF(Table1[[#This Row],[Delivery Delay]]&gt;0,1,0)</f>
        <v>0</v>
      </c>
      <c r="S403" s="6">
        <f>(Table1[[#This Row],[OTD]]*0.4)+(Table1[[#This Row],[Quality Rate]]*0.3)+(Table1[[#This Row],[Fill Rate]]*0.2)+(Table1[[#This Row],[Cost Score]]*0.1)</f>
        <v>0.86642838749424278</v>
      </c>
      <c r="T403">
        <f>MAX(Table1[OTD])</f>
        <v>1</v>
      </c>
      <c r="U403" t="str">
        <f>IF(Table1[[#This Row],[Vendor Score]]&gt;=90%,"Excellent",IF(Table1[[#This Row],[Vendor Score]]&gt;=75%,"Moderate","Poor"))</f>
        <v>Moderate</v>
      </c>
    </row>
    <row r="404" spans="1:21" x14ac:dyDescent="0.35">
      <c r="A404" t="s">
        <v>421</v>
      </c>
      <c r="B404" t="s">
        <v>45</v>
      </c>
      <c r="C404" t="s">
        <v>46</v>
      </c>
      <c r="D404" t="s">
        <v>19</v>
      </c>
      <c r="E404" t="s">
        <v>70</v>
      </c>
      <c r="F404">
        <v>4762</v>
      </c>
      <c r="G404">
        <v>4547</v>
      </c>
      <c r="H404" s="1">
        <v>46030</v>
      </c>
      <c r="I404" s="1">
        <v>46029</v>
      </c>
      <c r="J404">
        <v>413</v>
      </c>
      <c r="K404">
        <v>192</v>
      </c>
      <c r="L404">
        <f t="shared" si="30"/>
        <v>-1</v>
      </c>
      <c r="M404" s="6">
        <f t="shared" si="31"/>
        <v>1</v>
      </c>
      <c r="N404" s="6">
        <f t="shared" si="32"/>
        <v>0.95485090298194031</v>
      </c>
      <c r="O404" s="6">
        <f t="shared" si="33"/>
        <v>0.90917088190015394</v>
      </c>
      <c r="P404">
        <f t="shared" si="34"/>
        <v>873024</v>
      </c>
      <c r="Q404" s="6">
        <f>MIN(Table1[Unit Price])/Table1[[#This Row],[Unit Price]]</f>
        <v>2.6041666666666668E-2</v>
      </c>
      <c r="R404" s="8">
        <f>IF(Table1[[#This Row],[Delivery Delay]]&gt;0,1,0)</f>
        <v>0</v>
      </c>
      <c r="S404" s="6">
        <f>(Table1[[#This Row],[OTD]]*0.4)+(Table1[[#This Row],[Quality Rate]]*0.3)+(Table1[[#This Row],[Fill Rate]]*0.2)+(Table1[[#This Row],[Cost Score]]*0.1)</f>
        <v>0.86632561183310086</v>
      </c>
      <c r="T404">
        <f>MAX(Table1[OTD])</f>
        <v>1</v>
      </c>
      <c r="U404" t="str">
        <f>IF(Table1[[#This Row],[Vendor Score]]&gt;=90%,"Excellent",IF(Table1[[#This Row],[Vendor Score]]&gt;=75%,"Moderate","Poor"))</f>
        <v>Moderate</v>
      </c>
    </row>
    <row r="405" spans="1:21" x14ac:dyDescent="0.35">
      <c r="A405" t="s">
        <v>456</v>
      </c>
      <c r="B405" t="s">
        <v>45</v>
      </c>
      <c r="C405" t="s">
        <v>46</v>
      </c>
      <c r="D405" t="s">
        <v>19</v>
      </c>
      <c r="E405" t="s">
        <v>57</v>
      </c>
      <c r="F405">
        <v>2277</v>
      </c>
      <c r="G405">
        <v>2138</v>
      </c>
      <c r="H405" s="1">
        <v>46314</v>
      </c>
      <c r="I405" s="1">
        <v>46314</v>
      </c>
      <c r="J405">
        <v>197</v>
      </c>
      <c r="K405">
        <v>83</v>
      </c>
      <c r="L405">
        <f t="shared" si="30"/>
        <v>0</v>
      </c>
      <c r="M405" s="6">
        <f t="shared" si="31"/>
        <v>1</v>
      </c>
      <c r="N405" s="6">
        <f t="shared" si="32"/>
        <v>0.9389547650417216</v>
      </c>
      <c r="O405" s="6">
        <f t="shared" si="33"/>
        <v>0.90785781103835361</v>
      </c>
      <c r="P405">
        <f t="shared" si="34"/>
        <v>177454</v>
      </c>
      <c r="Q405" s="6">
        <f>MIN(Table1[Unit Price])/Table1[[#This Row],[Unit Price]]</f>
        <v>6.0240963855421686E-2</v>
      </c>
      <c r="R405" s="8">
        <f>IF(Table1[[#This Row],[Delivery Delay]]&gt;0,1,0)</f>
        <v>0</v>
      </c>
      <c r="S405" s="6">
        <f>(Table1[[#This Row],[OTD]]*0.4)+(Table1[[#This Row],[Quality Rate]]*0.3)+(Table1[[#This Row],[Fill Rate]]*0.2)+(Table1[[#This Row],[Cost Score]]*0.1)</f>
        <v>0.86617239270539259</v>
      </c>
      <c r="T405">
        <f>MAX(Table1[OTD])</f>
        <v>1</v>
      </c>
      <c r="U405" t="str">
        <f>IF(Table1[[#This Row],[Vendor Score]]&gt;=90%,"Excellent",IF(Table1[[#This Row],[Vendor Score]]&gt;=75%,"Moderate","Poor"))</f>
        <v>Moderate</v>
      </c>
    </row>
    <row r="406" spans="1:21" x14ac:dyDescent="0.35">
      <c r="A406" t="s">
        <v>352</v>
      </c>
      <c r="B406" t="s">
        <v>45</v>
      </c>
      <c r="C406" t="s">
        <v>46</v>
      </c>
      <c r="D406" t="s">
        <v>14</v>
      </c>
      <c r="E406" t="s">
        <v>47</v>
      </c>
      <c r="F406">
        <v>2174</v>
      </c>
      <c r="G406">
        <v>2076</v>
      </c>
      <c r="H406" s="1">
        <v>46348</v>
      </c>
      <c r="I406" s="1">
        <v>46347</v>
      </c>
      <c r="J406">
        <v>189</v>
      </c>
      <c r="K406">
        <v>215</v>
      </c>
      <c r="L406">
        <f t="shared" si="30"/>
        <v>-1</v>
      </c>
      <c r="M406" s="6">
        <f t="shared" si="31"/>
        <v>1</v>
      </c>
      <c r="N406" s="6">
        <f t="shared" si="32"/>
        <v>0.95492180312787489</v>
      </c>
      <c r="O406" s="6">
        <f t="shared" si="33"/>
        <v>0.90895953757225434</v>
      </c>
      <c r="P406">
        <f t="shared" si="34"/>
        <v>446340</v>
      </c>
      <c r="Q406" s="6">
        <f>MIN(Table1[Unit Price])/Table1[[#This Row],[Unit Price]]</f>
        <v>2.3255813953488372E-2</v>
      </c>
      <c r="R406" s="8">
        <f>IF(Table1[[#This Row],[Delivery Delay]]&gt;0,1,0)</f>
        <v>0</v>
      </c>
      <c r="S406" s="6">
        <f>(Table1[[#This Row],[OTD]]*0.4)+(Table1[[#This Row],[Quality Rate]]*0.3)+(Table1[[#This Row],[Fill Rate]]*0.2)+(Table1[[#This Row],[Cost Score]]*0.1)</f>
        <v>0.86599780329260012</v>
      </c>
      <c r="T406">
        <f>MAX(Table1[OTD])</f>
        <v>1</v>
      </c>
      <c r="U406" t="str">
        <f>IF(Table1[[#This Row],[Vendor Score]]&gt;=90%,"Excellent",IF(Table1[[#This Row],[Vendor Score]]&gt;=75%,"Moderate","Poor"))</f>
        <v>Moderate</v>
      </c>
    </row>
    <row r="407" spans="1:21" x14ac:dyDescent="0.35">
      <c r="A407" t="s">
        <v>314</v>
      </c>
      <c r="B407" t="s">
        <v>45</v>
      </c>
      <c r="C407" t="s">
        <v>46</v>
      </c>
      <c r="D407" t="s">
        <v>33</v>
      </c>
      <c r="E407" t="s">
        <v>34</v>
      </c>
      <c r="F407">
        <v>3004</v>
      </c>
      <c r="G407">
        <v>2864</v>
      </c>
      <c r="H407" s="1">
        <v>46192</v>
      </c>
      <c r="I407" s="1">
        <v>46191</v>
      </c>
      <c r="J407">
        <v>262</v>
      </c>
      <c r="K407">
        <v>202</v>
      </c>
      <c r="L407">
        <f t="shared" si="30"/>
        <v>-1</v>
      </c>
      <c r="M407" s="6">
        <f t="shared" si="31"/>
        <v>1</v>
      </c>
      <c r="N407" s="6">
        <f t="shared" si="32"/>
        <v>0.95339547270306257</v>
      </c>
      <c r="O407" s="6">
        <f t="shared" si="33"/>
        <v>0.90851955307262566</v>
      </c>
      <c r="P407">
        <f t="shared" si="34"/>
        <v>578528</v>
      </c>
      <c r="Q407" s="6">
        <f>MIN(Table1[Unit Price])/Table1[[#This Row],[Unit Price]]</f>
        <v>2.4752475247524754E-2</v>
      </c>
      <c r="R407" s="8">
        <f>IF(Table1[[#This Row],[Delivery Delay]]&gt;0,1,0)</f>
        <v>0</v>
      </c>
      <c r="S407" s="6">
        <f>(Table1[[#This Row],[OTD]]*0.4)+(Table1[[#This Row],[Quality Rate]]*0.3)+(Table1[[#This Row],[Fill Rate]]*0.2)+(Table1[[#This Row],[Cost Score]]*0.1)</f>
        <v>0.8657102079871527</v>
      </c>
      <c r="T407">
        <f>MAX(Table1[OTD])</f>
        <v>1</v>
      </c>
      <c r="U407" t="str">
        <f>IF(Table1[[#This Row],[Vendor Score]]&gt;=90%,"Excellent",IF(Table1[[#This Row],[Vendor Score]]&gt;=75%,"Moderate","Poor"))</f>
        <v>Moderate</v>
      </c>
    </row>
    <row r="408" spans="1:21" x14ac:dyDescent="0.35">
      <c r="A408" t="s">
        <v>513</v>
      </c>
      <c r="B408" t="s">
        <v>12</v>
      </c>
      <c r="C408" t="s">
        <v>13</v>
      </c>
      <c r="D408" t="s">
        <v>19</v>
      </c>
      <c r="E408" t="s">
        <v>34</v>
      </c>
      <c r="F408">
        <v>4814</v>
      </c>
      <c r="G408">
        <v>4713</v>
      </c>
      <c r="H408" s="1">
        <v>46199</v>
      </c>
      <c r="I408" s="1">
        <v>46197</v>
      </c>
      <c r="J408">
        <v>570</v>
      </c>
      <c r="K408">
        <v>81</v>
      </c>
      <c r="L408">
        <f t="shared" si="30"/>
        <v>-2</v>
      </c>
      <c r="M408" s="6">
        <f t="shared" si="31"/>
        <v>1</v>
      </c>
      <c r="N408" s="6">
        <f t="shared" si="32"/>
        <v>0.97901952638138767</v>
      </c>
      <c r="O408" s="6">
        <f t="shared" si="33"/>
        <v>0.87905792488860601</v>
      </c>
      <c r="P408">
        <f t="shared" si="34"/>
        <v>381753</v>
      </c>
      <c r="Q408" s="6">
        <f>MIN(Table1[Unit Price])/Table1[[#This Row],[Unit Price]]</f>
        <v>6.1728395061728392E-2</v>
      </c>
      <c r="R408" s="8">
        <f>IF(Table1[[#This Row],[Delivery Delay]]&gt;0,1,0)</f>
        <v>0</v>
      </c>
      <c r="S408" s="6">
        <f>(Table1[[#This Row],[OTD]]*0.4)+(Table1[[#This Row],[Quality Rate]]*0.3)+(Table1[[#This Row],[Fill Rate]]*0.2)+(Table1[[#This Row],[Cost Score]]*0.1)</f>
        <v>0.86569412224903231</v>
      </c>
      <c r="T408">
        <f>MAX(Table1[OTD])</f>
        <v>1</v>
      </c>
      <c r="U408" t="str">
        <f>IF(Table1[[#This Row],[Vendor Score]]&gt;=90%,"Excellent",IF(Table1[[#This Row],[Vendor Score]]&gt;=75%,"Moderate","Poor"))</f>
        <v>Moderate</v>
      </c>
    </row>
    <row r="409" spans="1:21" x14ac:dyDescent="0.35">
      <c r="A409" t="s">
        <v>293</v>
      </c>
      <c r="B409" t="s">
        <v>45</v>
      </c>
      <c r="C409" t="s">
        <v>46</v>
      </c>
      <c r="D409" t="s">
        <v>19</v>
      </c>
      <c r="E409" t="s">
        <v>28</v>
      </c>
      <c r="F409">
        <v>1471</v>
      </c>
      <c r="G409">
        <v>1396</v>
      </c>
      <c r="H409" s="1">
        <v>46267</v>
      </c>
      <c r="I409" s="1">
        <v>46267</v>
      </c>
      <c r="J409">
        <v>128</v>
      </c>
      <c r="K409">
        <v>207</v>
      </c>
      <c r="L409">
        <f t="shared" si="30"/>
        <v>0</v>
      </c>
      <c r="M409" s="6">
        <f t="shared" si="31"/>
        <v>1</v>
      </c>
      <c r="N409" s="6">
        <f t="shared" si="32"/>
        <v>0.94901427600271926</v>
      </c>
      <c r="O409" s="6">
        <f t="shared" si="33"/>
        <v>0.90830945558739251</v>
      </c>
      <c r="P409">
        <f t="shared" si="34"/>
        <v>288972</v>
      </c>
      <c r="Q409" s="6">
        <f>MIN(Table1[Unit Price])/Table1[[#This Row],[Unit Price]]</f>
        <v>2.4154589371980676E-2</v>
      </c>
      <c r="R409" s="8">
        <f>IF(Table1[[#This Row],[Delivery Delay]]&gt;0,1,0)</f>
        <v>0</v>
      </c>
      <c r="S409" s="6">
        <f>(Table1[[#This Row],[OTD]]*0.4)+(Table1[[#This Row],[Quality Rate]]*0.3)+(Table1[[#This Row],[Fill Rate]]*0.2)+(Table1[[#This Row],[Cost Score]]*0.1)</f>
        <v>0.86471115081395966</v>
      </c>
      <c r="T409">
        <f>MAX(Table1[OTD])</f>
        <v>1</v>
      </c>
      <c r="U409" t="str">
        <f>IF(Table1[[#This Row],[Vendor Score]]&gt;=90%,"Excellent",IF(Table1[[#This Row],[Vendor Score]]&gt;=75%,"Moderate","Poor"))</f>
        <v>Moderate</v>
      </c>
    </row>
    <row r="410" spans="1:21" x14ac:dyDescent="0.35">
      <c r="A410" t="s">
        <v>320</v>
      </c>
      <c r="B410" t="s">
        <v>45</v>
      </c>
      <c r="C410" t="s">
        <v>46</v>
      </c>
      <c r="D410" t="s">
        <v>33</v>
      </c>
      <c r="E410" t="s">
        <v>63</v>
      </c>
      <c r="F410">
        <v>4767</v>
      </c>
      <c r="G410">
        <v>4485</v>
      </c>
      <c r="H410" s="1">
        <v>46054</v>
      </c>
      <c r="I410" s="1">
        <v>46054</v>
      </c>
      <c r="J410">
        <v>407</v>
      </c>
      <c r="K410">
        <v>142</v>
      </c>
      <c r="L410">
        <f t="shared" si="30"/>
        <v>0</v>
      </c>
      <c r="M410" s="6">
        <f t="shared" si="31"/>
        <v>1</v>
      </c>
      <c r="N410" s="6">
        <f t="shared" si="32"/>
        <v>0.94084329767149155</v>
      </c>
      <c r="O410" s="6">
        <f t="shared" si="33"/>
        <v>0.90925306577480491</v>
      </c>
      <c r="P410">
        <f t="shared" si="34"/>
        <v>636870</v>
      </c>
      <c r="Q410" s="6">
        <f>MIN(Table1[Unit Price])/Table1[[#This Row],[Unit Price]]</f>
        <v>3.5211267605633804E-2</v>
      </c>
      <c r="R410" s="8">
        <f>IF(Table1[[#This Row],[Delivery Delay]]&gt;0,1,0)</f>
        <v>0</v>
      </c>
      <c r="S410" s="6">
        <f>(Table1[[#This Row],[OTD]]*0.4)+(Table1[[#This Row],[Quality Rate]]*0.3)+(Table1[[#This Row],[Fill Rate]]*0.2)+(Table1[[#This Row],[Cost Score]]*0.1)</f>
        <v>0.8644657060273031</v>
      </c>
      <c r="T410">
        <f>MAX(Table1[OTD])</f>
        <v>1</v>
      </c>
      <c r="U410" t="str">
        <f>IF(Table1[[#This Row],[Vendor Score]]&gt;=90%,"Excellent",IF(Table1[[#This Row],[Vendor Score]]&gt;=75%,"Moderate","Poor"))</f>
        <v>Moderate</v>
      </c>
    </row>
    <row r="411" spans="1:21" x14ac:dyDescent="0.35">
      <c r="A411" t="s">
        <v>504</v>
      </c>
      <c r="B411" t="s">
        <v>45</v>
      </c>
      <c r="C411" t="s">
        <v>46</v>
      </c>
      <c r="D411" t="s">
        <v>19</v>
      </c>
      <c r="E411" t="s">
        <v>57</v>
      </c>
      <c r="F411">
        <v>1411</v>
      </c>
      <c r="G411">
        <v>1302</v>
      </c>
      <c r="H411" s="1">
        <v>46304</v>
      </c>
      <c r="I411" s="1">
        <v>46302</v>
      </c>
      <c r="J411">
        <v>122</v>
      </c>
      <c r="K411">
        <v>63</v>
      </c>
      <c r="L411">
        <f t="shared" si="30"/>
        <v>-2</v>
      </c>
      <c r="M411" s="6">
        <f t="shared" si="31"/>
        <v>1</v>
      </c>
      <c r="N411" s="6">
        <f t="shared" si="32"/>
        <v>0.92274982282069451</v>
      </c>
      <c r="O411" s="6">
        <f t="shared" si="33"/>
        <v>0.90629800307219666</v>
      </c>
      <c r="P411">
        <f t="shared" si="34"/>
        <v>82026</v>
      </c>
      <c r="Q411" s="6">
        <f>MIN(Table1[Unit Price])/Table1[[#This Row],[Unit Price]]</f>
        <v>7.9365079365079361E-2</v>
      </c>
      <c r="R411" s="8">
        <f>IF(Table1[[#This Row],[Delivery Delay]]&gt;0,1,0)</f>
        <v>0</v>
      </c>
      <c r="S411" s="6">
        <f>(Table1[[#This Row],[OTD]]*0.4)+(Table1[[#This Row],[Quality Rate]]*0.3)+(Table1[[#This Row],[Fill Rate]]*0.2)+(Table1[[#This Row],[Cost Score]]*0.1)</f>
        <v>0.86437587342230571</v>
      </c>
      <c r="T411">
        <f>MAX(Table1[OTD])</f>
        <v>1</v>
      </c>
      <c r="U411" t="str">
        <f>IF(Table1[[#This Row],[Vendor Score]]&gt;=90%,"Excellent",IF(Table1[[#This Row],[Vendor Score]]&gt;=75%,"Moderate","Poor"))</f>
        <v>Moderate</v>
      </c>
    </row>
    <row r="412" spans="1:21" x14ac:dyDescent="0.35">
      <c r="A412" t="s">
        <v>304</v>
      </c>
      <c r="B412" t="s">
        <v>22</v>
      </c>
      <c r="C412" t="s">
        <v>23</v>
      </c>
      <c r="D412" t="s">
        <v>19</v>
      </c>
      <c r="E412" t="s">
        <v>15</v>
      </c>
      <c r="F412">
        <v>634</v>
      </c>
      <c r="G412">
        <v>585</v>
      </c>
      <c r="H412" s="1">
        <v>46381</v>
      </c>
      <c r="I412" s="1">
        <v>46379</v>
      </c>
      <c r="J412">
        <v>45</v>
      </c>
      <c r="K412">
        <v>178</v>
      </c>
      <c r="L412">
        <f t="shared" si="30"/>
        <v>-2</v>
      </c>
      <c r="M412" s="6">
        <f t="shared" si="31"/>
        <v>1</v>
      </c>
      <c r="N412" s="6">
        <f t="shared" si="32"/>
        <v>0.92271293375394325</v>
      </c>
      <c r="O412" s="6">
        <f t="shared" si="33"/>
        <v>0.92307692307692313</v>
      </c>
      <c r="P412">
        <f t="shared" si="34"/>
        <v>104130</v>
      </c>
      <c r="Q412" s="6">
        <f>MIN(Table1[Unit Price])/Table1[[#This Row],[Unit Price]]</f>
        <v>2.8089887640449437E-2</v>
      </c>
      <c r="R412" s="8">
        <f>IF(Table1[[#This Row],[Delivery Delay]]&gt;0,1,0)</f>
        <v>0</v>
      </c>
      <c r="S412" s="6">
        <f>(Table1[[#This Row],[OTD]]*0.4)+(Table1[[#This Row],[Quality Rate]]*0.3)+(Table1[[#This Row],[Fill Rate]]*0.2)+(Table1[[#This Row],[Cost Score]]*0.1)</f>
        <v>0.86427465243791046</v>
      </c>
      <c r="T412">
        <f>MAX(Table1[OTD])</f>
        <v>1</v>
      </c>
      <c r="U412" t="str">
        <f>IF(Table1[[#This Row],[Vendor Score]]&gt;=90%,"Excellent",IF(Table1[[#This Row],[Vendor Score]]&gt;=75%,"Moderate","Poor"))</f>
        <v>Moderate</v>
      </c>
    </row>
    <row r="413" spans="1:21" x14ac:dyDescent="0.35">
      <c r="A413" t="s">
        <v>75</v>
      </c>
      <c r="B413" t="s">
        <v>12</v>
      </c>
      <c r="C413" t="s">
        <v>13</v>
      </c>
      <c r="D413" t="s">
        <v>14</v>
      </c>
      <c r="E413" t="s">
        <v>20</v>
      </c>
      <c r="F413">
        <v>2444</v>
      </c>
      <c r="G413">
        <v>2325</v>
      </c>
      <c r="H413" s="1">
        <v>46213</v>
      </c>
      <c r="I413" s="1">
        <v>46212</v>
      </c>
      <c r="J413">
        <v>281</v>
      </c>
      <c r="K413">
        <v>50</v>
      </c>
      <c r="L413">
        <f t="shared" si="30"/>
        <v>-1</v>
      </c>
      <c r="M413" s="6">
        <f t="shared" si="31"/>
        <v>1</v>
      </c>
      <c r="N413" s="6">
        <f t="shared" si="32"/>
        <v>0.95130932896890341</v>
      </c>
      <c r="O413" s="6">
        <f t="shared" si="33"/>
        <v>0.87913978494623657</v>
      </c>
      <c r="P413">
        <f t="shared" si="34"/>
        <v>116250</v>
      </c>
      <c r="Q413" s="6">
        <f>MIN(Table1[Unit Price])/Table1[[#This Row],[Unit Price]]</f>
        <v>0.1</v>
      </c>
      <c r="R413" s="8">
        <f>IF(Table1[[#This Row],[Delivery Delay]]&gt;0,1,0)</f>
        <v>0</v>
      </c>
      <c r="S413" s="6">
        <f>(Table1[[#This Row],[OTD]]*0.4)+(Table1[[#This Row],[Quality Rate]]*0.3)+(Table1[[#This Row],[Fill Rate]]*0.2)+(Table1[[#This Row],[Cost Score]]*0.1)</f>
        <v>0.86400380127765164</v>
      </c>
      <c r="T413">
        <f>MAX(Table1[OTD])</f>
        <v>1</v>
      </c>
      <c r="U413" t="str">
        <f>IF(Table1[[#This Row],[Vendor Score]]&gt;=90%,"Excellent",IF(Table1[[#This Row],[Vendor Score]]&gt;=75%,"Moderate","Poor"))</f>
        <v>Moderate</v>
      </c>
    </row>
    <row r="414" spans="1:21" x14ac:dyDescent="0.35">
      <c r="A414" t="s">
        <v>279</v>
      </c>
      <c r="B414" t="s">
        <v>45</v>
      </c>
      <c r="C414" t="s">
        <v>46</v>
      </c>
      <c r="D414" t="s">
        <v>19</v>
      </c>
      <c r="E414" t="s">
        <v>40</v>
      </c>
      <c r="F414">
        <v>895</v>
      </c>
      <c r="G414">
        <v>828</v>
      </c>
      <c r="H414" s="1">
        <v>46260</v>
      </c>
      <c r="I414" s="1">
        <v>46259</v>
      </c>
      <c r="J414">
        <v>80</v>
      </c>
      <c r="K414">
        <v>64</v>
      </c>
      <c r="L414">
        <f t="shared" si="30"/>
        <v>-1</v>
      </c>
      <c r="M414" s="6">
        <f t="shared" si="31"/>
        <v>1</v>
      </c>
      <c r="N414" s="6">
        <f t="shared" si="32"/>
        <v>0.9251396648044693</v>
      </c>
      <c r="O414" s="6">
        <f t="shared" si="33"/>
        <v>0.90338164251207731</v>
      </c>
      <c r="P414">
        <f t="shared" si="34"/>
        <v>52992</v>
      </c>
      <c r="Q414" s="6">
        <f>MIN(Table1[Unit Price])/Table1[[#This Row],[Unit Price]]</f>
        <v>7.8125E-2</v>
      </c>
      <c r="R414" s="8">
        <f>IF(Table1[[#This Row],[Delivery Delay]]&gt;0,1,0)</f>
        <v>0</v>
      </c>
      <c r="S414" s="6">
        <f>(Table1[[#This Row],[OTD]]*0.4)+(Table1[[#This Row],[Quality Rate]]*0.3)+(Table1[[#This Row],[Fill Rate]]*0.2)+(Table1[[#This Row],[Cost Score]]*0.1)</f>
        <v>0.86385492571451716</v>
      </c>
      <c r="T414">
        <f>MAX(Table1[OTD])</f>
        <v>1</v>
      </c>
      <c r="U414" t="str">
        <f>IF(Table1[[#This Row],[Vendor Score]]&gt;=90%,"Excellent",IF(Table1[[#This Row],[Vendor Score]]&gt;=75%,"Moderate","Poor"))</f>
        <v>Moderate</v>
      </c>
    </row>
    <row r="415" spans="1:21" x14ac:dyDescent="0.35">
      <c r="A415" t="s">
        <v>311</v>
      </c>
      <c r="B415" t="s">
        <v>45</v>
      </c>
      <c r="C415" t="s">
        <v>46</v>
      </c>
      <c r="D415" t="s">
        <v>55</v>
      </c>
      <c r="E415" t="s">
        <v>20</v>
      </c>
      <c r="F415">
        <v>1791</v>
      </c>
      <c r="G415">
        <v>1650</v>
      </c>
      <c r="H415" s="1">
        <v>46224</v>
      </c>
      <c r="I415" s="1">
        <v>46224</v>
      </c>
      <c r="J415">
        <v>154</v>
      </c>
      <c r="K415">
        <v>66</v>
      </c>
      <c r="L415">
        <f t="shared" si="30"/>
        <v>0</v>
      </c>
      <c r="M415" s="6">
        <f t="shared" si="31"/>
        <v>1</v>
      </c>
      <c r="N415" s="6">
        <f t="shared" si="32"/>
        <v>0.92127303182579567</v>
      </c>
      <c r="O415" s="6">
        <f t="shared" si="33"/>
        <v>0.90666666666666662</v>
      </c>
      <c r="P415">
        <f t="shared" si="34"/>
        <v>108900</v>
      </c>
      <c r="Q415" s="6">
        <f>MIN(Table1[Unit Price])/Table1[[#This Row],[Unit Price]]</f>
        <v>7.575757575757576E-2</v>
      </c>
      <c r="R415" s="8">
        <f>IF(Table1[[#This Row],[Delivery Delay]]&gt;0,1,0)</f>
        <v>0</v>
      </c>
      <c r="S415" s="6">
        <f>(Table1[[#This Row],[OTD]]*0.4)+(Table1[[#This Row],[Quality Rate]]*0.3)+(Table1[[#This Row],[Fill Rate]]*0.2)+(Table1[[#This Row],[Cost Score]]*0.1)</f>
        <v>0.86383036394091661</v>
      </c>
      <c r="T415">
        <f>MAX(Table1[OTD])</f>
        <v>1</v>
      </c>
      <c r="U415" t="str">
        <f>IF(Table1[[#This Row],[Vendor Score]]&gt;=90%,"Excellent",IF(Table1[[#This Row],[Vendor Score]]&gt;=75%,"Moderate","Poor"))</f>
        <v>Moderate</v>
      </c>
    </row>
    <row r="416" spans="1:21" x14ac:dyDescent="0.35">
      <c r="A416" t="s">
        <v>240</v>
      </c>
      <c r="B416" t="s">
        <v>12</v>
      </c>
      <c r="C416" t="s">
        <v>13</v>
      </c>
      <c r="D416" t="s">
        <v>55</v>
      </c>
      <c r="E416" t="s">
        <v>34</v>
      </c>
      <c r="F416">
        <v>4930</v>
      </c>
      <c r="G416">
        <v>4847</v>
      </c>
      <c r="H416" s="1">
        <v>46195</v>
      </c>
      <c r="I416" s="1">
        <v>46193</v>
      </c>
      <c r="J416">
        <v>587</v>
      </c>
      <c r="K416">
        <v>150</v>
      </c>
      <c r="L416">
        <f t="shared" si="30"/>
        <v>-2</v>
      </c>
      <c r="M416" s="6">
        <f t="shared" si="31"/>
        <v>1</v>
      </c>
      <c r="N416" s="6">
        <f t="shared" si="32"/>
        <v>0.98316430020283974</v>
      </c>
      <c r="O416" s="6">
        <f t="shared" si="33"/>
        <v>0.87889416133690945</v>
      </c>
      <c r="P416">
        <f t="shared" si="34"/>
        <v>727050</v>
      </c>
      <c r="Q416" s="6">
        <f>MIN(Table1[Unit Price])/Table1[[#This Row],[Unit Price]]</f>
        <v>3.3333333333333333E-2</v>
      </c>
      <c r="R416" s="8">
        <f>IF(Table1[[#This Row],[Delivery Delay]]&gt;0,1,0)</f>
        <v>0</v>
      </c>
      <c r="S416" s="6">
        <f>(Table1[[#This Row],[OTD]]*0.4)+(Table1[[#This Row],[Quality Rate]]*0.3)+(Table1[[#This Row],[Fill Rate]]*0.2)+(Table1[[#This Row],[Cost Score]]*0.1)</f>
        <v>0.86363444177497406</v>
      </c>
      <c r="T416">
        <f>MAX(Table1[OTD])</f>
        <v>1</v>
      </c>
      <c r="U416" t="str">
        <f>IF(Table1[[#This Row],[Vendor Score]]&gt;=90%,"Excellent",IF(Table1[[#This Row],[Vendor Score]]&gt;=75%,"Moderate","Poor"))</f>
        <v>Moderate</v>
      </c>
    </row>
    <row r="417" spans="1:21" x14ac:dyDescent="0.35">
      <c r="A417" t="s">
        <v>459</v>
      </c>
      <c r="B417" t="s">
        <v>22</v>
      </c>
      <c r="C417" t="s">
        <v>23</v>
      </c>
      <c r="D417" t="s">
        <v>14</v>
      </c>
      <c r="E417" t="s">
        <v>15</v>
      </c>
      <c r="F417">
        <v>261</v>
      </c>
      <c r="G417">
        <v>241</v>
      </c>
      <c r="H417" s="1">
        <v>46378</v>
      </c>
      <c r="I417" s="1">
        <v>46376</v>
      </c>
      <c r="J417">
        <v>19</v>
      </c>
      <c r="K417">
        <v>233</v>
      </c>
      <c r="L417">
        <f t="shared" si="30"/>
        <v>-2</v>
      </c>
      <c r="M417" s="6">
        <f t="shared" si="31"/>
        <v>1</v>
      </c>
      <c r="N417" s="6">
        <f t="shared" si="32"/>
        <v>0.92337164750957856</v>
      </c>
      <c r="O417" s="6">
        <f t="shared" si="33"/>
        <v>0.92116182572614103</v>
      </c>
      <c r="P417">
        <f t="shared" si="34"/>
        <v>56153</v>
      </c>
      <c r="Q417" s="6">
        <f>MIN(Table1[Unit Price])/Table1[[#This Row],[Unit Price]]</f>
        <v>2.1459227467811159E-2</v>
      </c>
      <c r="R417" s="8">
        <f>IF(Table1[[#This Row],[Delivery Delay]]&gt;0,1,0)</f>
        <v>0</v>
      </c>
      <c r="S417" s="6">
        <f>(Table1[[#This Row],[OTD]]*0.4)+(Table1[[#This Row],[Quality Rate]]*0.3)+(Table1[[#This Row],[Fill Rate]]*0.2)+(Table1[[#This Row],[Cost Score]]*0.1)</f>
        <v>0.86316879996653928</v>
      </c>
      <c r="T417">
        <f>MAX(Table1[OTD])</f>
        <v>1</v>
      </c>
      <c r="U417" t="str">
        <f>IF(Table1[[#This Row],[Vendor Score]]&gt;=90%,"Excellent",IF(Table1[[#This Row],[Vendor Score]]&gt;=75%,"Moderate","Poor"))</f>
        <v>Moderate</v>
      </c>
    </row>
    <row r="418" spans="1:21" x14ac:dyDescent="0.35">
      <c r="A418" t="s">
        <v>250</v>
      </c>
      <c r="B418" t="s">
        <v>45</v>
      </c>
      <c r="C418" t="s">
        <v>46</v>
      </c>
      <c r="D418" t="s">
        <v>33</v>
      </c>
      <c r="E418" t="s">
        <v>24</v>
      </c>
      <c r="F418">
        <v>2827</v>
      </c>
      <c r="G418">
        <v>2663</v>
      </c>
      <c r="H418" s="1">
        <v>46157</v>
      </c>
      <c r="I418" s="1">
        <v>46155</v>
      </c>
      <c r="J418">
        <v>243</v>
      </c>
      <c r="K418">
        <v>249</v>
      </c>
      <c r="L418">
        <f t="shared" si="30"/>
        <v>-2</v>
      </c>
      <c r="M418" s="6">
        <f t="shared" si="31"/>
        <v>1</v>
      </c>
      <c r="N418" s="6">
        <f t="shared" si="32"/>
        <v>0.94198797311637783</v>
      </c>
      <c r="O418" s="6">
        <f t="shared" si="33"/>
        <v>0.9087495306045813</v>
      </c>
      <c r="P418">
        <f t="shared" si="34"/>
        <v>663087</v>
      </c>
      <c r="Q418" s="6">
        <f>MIN(Table1[Unit Price])/Table1[[#This Row],[Unit Price]]</f>
        <v>2.0080321285140562E-2</v>
      </c>
      <c r="R418" s="8">
        <f>IF(Table1[[#This Row],[Delivery Delay]]&gt;0,1,0)</f>
        <v>0</v>
      </c>
      <c r="S418" s="6">
        <f>(Table1[[#This Row],[OTD]]*0.4)+(Table1[[#This Row],[Quality Rate]]*0.3)+(Table1[[#This Row],[Fill Rate]]*0.2)+(Table1[[#This Row],[Cost Score]]*0.1)</f>
        <v>0.863030485933164</v>
      </c>
      <c r="T418">
        <f>MAX(Table1[OTD])</f>
        <v>1</v>
      </c>
      <c r="U418" t="str">
        <f>IF(Table1[[#This Row],[Vendor Score]]&gt;=90%,"Excellent",IF(Table1[[#This Row],[Vendor Score]]&gt;=75%,"Moderate","Poor"))</f>
        <v>Moderate</v>
      </c>
    </row>
    <row r="419" spans="1:21" x14ac:dyDescent="0.35">
      <c r="A419" t="s">
        <v>285</v>
      </c>
      <c r="B419" t="s">
        <v>45</v>
      </c>
      <c r="C419" t="s">
        <v>46</v>
      </c>
      <c r="D419" t="s">
        <v>19</v>
      </c>
      <c r="E419" t="s">
        <v>34</v>
      </c>
      <c r="F419">
        <v>2065</v>
      </c>
      <c r="G419">
        <v>1921</v>
      </c>
      <c r="H419" s="1">
        <v>46190</v>
      </c>
      <c r="I419" s="1">
        <v>46190</v>
      </c>
      <c r="J419">
        <v>177</v>
      </c>
      <c r="K419">
        <v>113</v>
      </c>
      <c r="L419">
        <f t="shared" si="30"/>
        <v>0</v>
      </c>
      <c r="M419" s="6">
        <f t="shared" si="31"/>
        <v>1</v>
      </c>
      <c r="N419" s="6">
        <f t="shared" si="32"/>
        <v>0.93026634382566586</v>
      </c>
      <c r="O419" s="6">
        <f t="shared" si="33"/>
        <v>0.90786048932847474</v>
      </c>
      <c r="P419">
        <f t="shared" si="34"/>
        <v>217073</v>
      </c>
      <c r="Q419" s="6">
        <f>MIN(Table1[Unit Price])/Table1[[#This Row],[Unit Price]]</f>
        <v>4.4247787610619468E-2</v>
      </c>
      <c r="R419" s="8">
        <f>IF(Table1[[#This Row],[Delivery Delay]]&gt;0,1,0)</f>
        <v>0</v>
      </c>
      <c r="S419" s="6">
        <f>(Table1[[#This Row],[OTD]]*0.4)+(Table1[[#This Row],[Quality Rate]]*0.3)+(Table1[[#This Row],[Fill Rate]]*0.2)+(Table1[[#This Row],[Cost Score]]*0.1)</f>
        <v>0.86283619432473757</v>
      </c>
      <c r="T419">
        <f>MAX(Table1[OTD])</f>
        <v>1</v>
      </c>
      <c r="U419" t="str">
        <f>IF(Table1[[#This Row],[Vendor Score]]&gt;=90%,"Excellent",IF(Table1[[#This Row],[Vendor Score]]&gt;=75%,"Moderate","Poor"))</f>
        <v>Moderate</v>
      </c>
    </row>
    <row r="420" spans="1:21" x14ac:dyDescent="0.35">
      <c r="A420" t="s">
        <v>302</v>
      </c>
      <c r="B420" t="s">
        <v>12</v>
      </c>
      <c r="C420" t="s">
        <v>13</v>
      </c>
      <c r="D420" t="s">
        <v>14</v>
      </c>
      <c r="E420" t="s">
        <v>52</v>
      </c>
      <c r="F420">
        <v>469</v>
      </c>
      <c r="G420">
        <v>454</v>
      </c>
      <c r="H420" s="1">
        <v>46112</v>
      </c>
      <c r="I420" s="1">
        <v>46111</v>
      </c>
      <c r="J420">
        <v>57</v>
      </c>
      <c r="K420">
        <v>83</v>
      </c>
      <c r="L420">
        <f t="shared" si="30"/>
        <v>-1</v>
      </c>
      <c r="M420" s="6">
        <f t="shared" si="31"/>
        <v>1</v>
      </c>
      <c r="N420" s="6">
        <f t="shared" si="32"/>
        <v>0.96801705756929635</v>
      </c>
      <c r="O420" s="6">
        <f t="shared" si="33"/>
        <v>0.87444933920704848</v>
      </c>
      <c r="P420">
        <f t="shared" si="34"/>
        <v>37682</v>
      </c>
      <c r="Q420" s="6">
        <f>MIN(Table1[Unit Price])/Table1[[#This Row],[Unit Price]]</f>
        <v>6.0240963855421686E-2</v>
      </c>
      <c r="R420" s="8">
        <f>IF(Table1[[#This Row],[Delivery Delay]]&gt;0,1,0)</f>
        <v>0</v>
      </c>
      <c r="S420" s="6">
        <f>(Table1[[#This Row],[OTD]]*0.4)+(Table1[[#This Row],[Quality Rate]]*0.3)+(Table1[[#This Row],[Fill Rate]]*0.2)+(Table1[[#This Row],[Cost Score]]*0.1)</f>
        <v>0.86196230966151599</v>
      </c>
      <c r="T420">
        <f>MAX(Table1[OTD])</f>
        <v>1</v>
      </c>
      <c r="U420" t="str">
        <f>IF(Table1[[#This Row],[Vendor Score]]&gt;=90%,"Excellent",IF(Table1[[#This Row],[Vendor Score]]&gt;=75%,"Moderate","Poor"))</f>
        <v>Moderate</v>
      </c>
    </row>
    <row r="421" spans="1:21" x14ac:dyDescent="0.35">
      <c r="A421" t="s">
        <v>448</v>
      </c>
      <c r="B421" t="s">
        <v>12</v>
      </c>
      <c r="C421" t="s">
        <v>13</v>
      </c>
      <c r="D421" t="s">
        <v>33</v>
      </c>
      <c r="E421" t="s">
        <v>40</v>
      </c>
      <c r="F421">
        <v>469</v>
      </c>
      <c r="G421">
        <v>460</v>
      </c>
      <c r="H421" s="1">
        <v>46256</v>
      </c>
      <c r="I421" s="1">
        <v>46255</v>
      </c>
      <c r="J421">
        <v>57</v>
      </c>
      <c r="K421">
        <v>171</v>
      </c>
      <c r="L421">
        <f t="shared" si="30"/>
        <v>-1</v>
      </c>
      <c r="M421" s="6">
        <f t="shared" si="31"/>
        <v>1</v>
      </c>
      <c r="N421" s="6">
        <f t="shared" si="32"/>
        <v>0.98081023454157779</v>
      </c>
      <c r="O421" s="6">
        <f t="shared" si="33"/>
        <v>0.87608695652173918</v>
      </c>
      <c r="P421">
        <f t="shared" si="34"/>
        <v>78660</v>
      </c>
      <c r="Q421" s="6">
        <f>MIN(Table1[Unit Price])/Table1[[#This Row],[Unit Price]]</f>
        <v>2.9239766081871343E-2</v>
      </c>
      <c r="R421" s="8">
        <f>IF(Table1[[#This Row],[Delivery Delay]]&gt;0,1,0)</f>
        <v>0</v>
      </c>
      <c r="S421" s="6">
        <f>(Table1[[#This Row],[OTD]]*0.4)+(Table1[[#This Row],[Quality Rate]]*0.3)+(Table1[[#This Row],[Fill Rate]]*0.2)+(Table1[[#This Row],[Cost Score]]*0.1)</f>
        <v>0.86191211047302441</v>
      </c>
      <c r="T421">
        <f>MAX(Table1[OTD])</f>
        <v>1</v>
      </c>
      <c r="U421" t="str">
        <f>IF(Table1[[#This Row],[Vendor Score]]&gt;=90%,"Excellent",IF(Table1[[#This Row],[Vendor Score]]&gt;=75%,"Moderate","Poor"))</f>
        <v>Moderate</v>
      </c>
    </row>
    <row r="422" spans="1:21" x14ac:dyDescent="0.35">
      <c r="A422" t="s">
        <v>44</v>
      </c>
      <c r="B422" t="s">
        <v>45</v>
      </c>
      <c r="C422" t="s">
        <v>46</v>
      </c>
      <c r="D422" t="s">
        <v>33</v>
      </c>
      <c r="E422" t="s">
        <v>47</v>
      </c>
      <c r="F422">
        <v>1064</v>
      </c>
      <c r="G422">
        <v>992</v>
      </c>
      <c r="H422" s="1">
        <v>46335</v>
      </c>
      <c r="I422" s="1">
        <v>46334</v>
      </c>
      <c r="J422">
        <v>91</v>
      </c>
      <c r="K422">
        <v>174</v>
      </c>
      <c r="L422">
        <f t="shared" si="30"/>
        <v>-1</v>
      </c>
      <c r="M422" s="6">
        <f t="shared" si="31"/>
        <v>1</v>
      </c>
      <c r="N422" s="6">
        <f t="shared" si="32"/>
        <v>0.93233082706766912</v>
      </c>
      <c r="O422" s="6">
        <f t="shared" si="33"/>
        <v>0.90826612903225812</v>
      </c>
      <c r="P422">
        <f t="shared" si="34"/>
        <v>172608</v>
      </c>
      <c r="Q422" s="6">
        <f>MIN(Table1[Unit Price])/Table1[[#This Row],[Unit Price]]</f>
        <v>2.8735632183908046E-2</v>
      </c>
      <c r="R422" s="8">
        <f>IF(Table1[[#This Row],[Delivery Delay]]&gt;0,1,0)</f>
        <v>0</v>
      </c>
      <c r="S422" s="6">
        <f>(Table1[[#This Row],[OTD]]*0.4)+(Table1[[#This Row],[Quality Rate]]*0.3)+(Table1[[#This Row],[Fill Rate]]*0.2)+(Table1[[#This Row],[Cost Score]]*0.1)</f>
        <v>0.86181956734160214</v>
      </c>
      <c r="T422">
        <f>MAX(Table1[OTD])</f>
        <v>1</v>
      </c>
      <c r="U422" t="str">
        <f>IF(Table1[[#This Row],[Vendor Score]]&gt;=90%,"Excellent",IF(Table1[[#This Row],[Vendor Score]]&gt;=75%,"Moderate","Poor"))</f>
        <v>Moderate</v>
      </c>
    </row>
    <row r="423" spans="1:21" x14ac:dyDescent="0.35">
      <c r="A423" t="s">
        <v>403</v>
      </c>
      <c r="B423" t="s">
        <v>45</v>
      </c>
      <c r="C423" t="s">
        <v>46</v>
      </c>
      <c r="D423" t="s">
        <v>19</v>
      </c>
      <c r="E423" t="s">
        <v>57</v>
      </c>
      <c r="F423">
        <v>4519</v>
      </c>
      <c r="G423">
        <v>4177</v>
      </c>
      <c r="H423" s="1">
        <v>46306</v>
      </c>
      <c r="I423" s="1">
        <v>46306</v>
      </c>
      <c r="J423">
        <v>380</v>
      </c>
      <c r="K423">
        <v>133</v>
      </c>
      <c r="L423">
        <f t="shared" si="30"/>
        <v>0</v>
      </c>
      <c r="M423" s="6">
        <f t="shared" si="31"/>
        <v>1</v>
      </c>
      <c r="N423" s="6">
        <f t="shared" si="32"/>
        <v>0.9243195397211772</v>
      </c>
      <c r="O423" s="6">
        <f t="shared" si="33"/>
        <v>0.90902561647115154</v>
      </c>
      <c r="P423">
        <f t="shared" si="34"/>
        <v>555541</v>
      </c>
      <c r="Q423" s="6">
        <f>MIN(Table1[Unit Price])/Table1[[#This Row],[Unit Price]]</f>
        <v>3.7593984962406013E-2</v>
      </c>
      <c r="R423" s="8">
        <f>IF(Table1[[#This Row],[Delivery Delay]]&gt;0,1,0)</f>
        <v>0</v>
      </c>
      <c r="S423" s="6">
        <f>(Table1[[#This Row],[OTD]]*0.4)+(Table1[[#This Row],[Quality Rate]]*0.3)+(Table1[[#This Row],[Fill Rate]]*0.2)+(Table1[[#This Row],[Cost Score]]*0.1)</f>
        <v>0.86133099138182156</v>
      </c>
      <c r="T423">
        <f>MAX(Table1[OTD])</f>
        <v>1</v>
      </c>
      <c r="U423" t="str">
        <f>IF(Table1[[#This Row],[Vendor Score]]&gt;=90%,"Excellent",IF(Table1[[#This Row],[Vendor Score]]&gt;=75%,"Moderate","Poor"))</f>
        <v>Moderate</v>
      </c>
    </row>
    <row r="424" spans="1:21" x14ac:dyDescent="0.35">
      <c r="A424" t="s">
        <v>511</v>
      </c>
      <c r="B424" t="s">
        <v>45</v>
      </c>
      <c r="C424" t="s">
        <v>46</v>
      </c>
      <c r="D424" t="s">
        <v>14</v>
      </c>
      <c r="E424" t="s">
        <v>15</v>
      </c>
      <c r="F424">
        <v>371</v>
      </c>
      <c r="G424">
        <v>344</v>
      </c>
      <c r="H424" s="1">
        <v>46378</v>
      </c>
      <c r="I424" s="1">
        <v>46376</v>
      </c>
      <c r="J424">
        <v>31</v>
      </c>
      <c r="K424">
        <v>179</v>
      </c>
      <c r="L424">
        <f t="shared" si="30"/>
        <v>-2</v>
      </c>
      <c r="M424" s="6">
        <f t="shared" si="31"/>
        <v>1</v>
      </c>
      <c r="N424" s="6">
        <f t="shared" si="32"/>
        <v>0.92722371967654982</v>
      </c>
      <c r="O424" s="6">
        <f t="shared" si="33"/>
        <v>0.90988372093023251</v>
      </c>
      <c r="P424">
        <f t="shared" si="34"/>
        <v>61576</v>
      </c>
      <c r="Q424" s="6">
        <f>MIN(Table1[Unit Price])/Table1[[#This Row],[Unit Price]]</f>
        <v>2.7932960893854747E-2</v>
      </c>
      <c r="R424" s="8">
        <f>IF(Table1[[#This Row],[Delivery Delay]]&gt;0,1,0)</f>
        <v>0</v>
      </c>
      <c r="S424" s="6">
        <f>(Table1[[#This Row],[OTD]]*0.4)+(Table1[[#This Row],[Quality Rate]]*0.3)+(Table1[[#This Row],[Fill Rate]]*0.2)+(Table1[[#This Row],[Cost Score]]*0.1)</f>
        <v>0.8612031563037652</v>
      </c>
      <c r="T424">
        <f>MAX(Table1[OTD])</f>
        <v>1</v>
      </c>
      <c r="U424" t="str">
        <f>IF(Table1[[#This Row],[Vendor Score]]&gt;=90%,"Excellent",IF(Table1[[#This Row],[Vendor Score]]&gt;=75%,"Moderate","Poor"))</f>
        <v>Moderate</v>
      </c>
    </row>
    <row r="425" spans="1:21" x14ac:dyDescent="0.35">
      <c r="A425" t="s">
        <v>325</v>
      </c>
      <c r="B425" t="s">
        <v>45</v>
      </c>
      <c r="C425" t="s">
        <v>46</v>
      </c>
      <c r="D425" t="s">
        <v>14</v>
      </c>
      <c r="E425" t="s">
        <v>15</v>
      </c>
      <c r="F425">
        <v>2275</v>
      </c>
      <c r="G425">
        <v>2110</v>
      </c>
      <c r="H425" s="1">
        <v>46380</v>
      </c>
      <c r="I425" s="1">
        <v>46380</v>
      </c>
      <c r="J425">
        <v>192</v>
      </c>
      <c r="K425">
        <v>197</v>
      </c>
      <c r="L425">
        <f t="shared" si="30"/>
        <v>0</v>
      </c>
      <c r="M425" s="6">
        <f t="shared" si="31"/>
        <v>1</v>
      </c>
      <c r="N425" s="6">
        <f t="shared" si="32"/>
        <v>0.92747252747252751</v>
      </c>
      <c r="O425" s="6">
        <f t="shared" si="33"/>
        <v>0.90900473933649284</v>
      </c>
      <c r="P425">
        <f t="shared" si="34"/>
        <v>415670</v>
      </c>
      <c r="Q425" s="6">
        <f>MIN(Table1[Unit Price])/Table1[[#This Row],[Unit Price]]</f>
        <v>2.5380710659898477E-2</v>
      </c>
      <c r="R425" s="8">
        <f>IF(Table1[[#This Row],[Delivery Delay]]&gt;0,1,0)</f>
        <v>0</v>
      </c>
      <c r="S425" s="6">
        <f>(Table1[[#This Row],[OTD]]*0.4)+(Table1[[#This Row],[Quality Rate]]*0.3)+(Table1[[#This Row],[Fill Rate]]*0.2)+(Table1[[#This Row],[Cost Score]]*0.1)</f>
        <v>0.86073399836144326</v>
      </c>
      <c r="T425">
        <f>MAX(Table1[OTD])</f>
        <v>1</v>
      </c>
      <c r="U425" t="str">
        <f>IF(Table1[[#This Row],[Vendor Score]]&gt;=90%,"Excellent",IF(Table1[[#This Row],[Vendor Score]]&gt;=75%,"Moderate","Poor"))</f>
        <v>Moderate</v>
      </c>
    </row>
    <row r="426" spans="1:21" x14ac:dyDescent="0.35">
      <c r="A426" t="s">
        <v>71</v>
      </c>
      <c r="B426" t="s">
        <v>45</v>
      </c>
      <c r="C426" t="s">
        <v>46</v>
      </c>
      <c r="D426" t="s">
        <v>14</v>
      </c>
      <c r="E426" t="s">
        <v>20</v>
      </c>
      <c r="F426">
        <v>3628</v>
      </c>
      <c r="G426">
        <v>3353</v>
      </c>
      <c r="H426" s="1">
        <v>46231</v>
      </c>
      <c r="I426" s="1">
        <v>46229</v>
      </c>
      <c r="J426">
        <v>303</v>
      </c>
      <c r="K426">
        <v>226</v>
      </c>
      <c r="L426">
        <f t="shared" si="30"/>
        <v>-2</v>
      </c>
      <c r="M426" s="6">
        <f t="shared" si="31"/>
        <v>1</v>
      </c>
      <c r="N426" s="6">
        <f t="shared" si="32"/>
        <v>0.92420066152149949</v>
      </c>
      <c r="O426" s="6">
        <f t="shared" si="33"/>
        <v>0.90963316433045038</v>
      </c>
      <c r="P426">
        <f t="shared" si="34"/>
        <v>757778</v>
      </c>
      <c r="Q426" s="6">
        <f>MIN(Table1[Unit Price])/Table1[[#This Row],[Unit Price]]</f>
        <v>2.2123893805309734E-2</v>
      </c>
      <c r="R426" s="8">
        <f>IF(Table1[[#This Row],[Delivery Delay]]&gt;0,1,0)</f>
        <v>0</v>
      </c>
      <c r="S426" s="6">
        <f>(Table1[[#This Row],[OTD]]*0.4)+(Table1[[#This Row],[Quality Rate]]*0.3)+(Table1[[#This Row],[Fill Rate]]*0.2)+(Table1[[#This Row],[Cost Score]]*0.1)</f>
        <v>0.85994247098396592</v>
      </c>
      <c r="T426">
        <f>MAX(Table1[OTD])</f>
        <v>1</v>
      </c>
      <c r="U426" t="str">
        <f>IF(Table1[[#This Row],[Vendor Score]]&gt;=90%,"Excellent",IF(Table1[[#This Row],[Vendor Score]]&gt;=75%,"Moderate","Poor"))</f>
        <v>Moderate</v>
      </c>
    </row>
    <row r="427" spans="1:21" x14ac:dyDescent="0.35">
      <c r="A427" t="s">
        <v>436</v>
      </c>
      <c r="B427" t="s">
        <v>45</v>
      </c>
      <c r="C427" t="s">
        <v>46</v>
      </c>
      <c r="D427" t="s">
        <v>55</v>
      </c>
      <c r="E427" t="s">
        <v>70</v>
      </c>
      <c r="F427">
        <v>1075</v>
      </c>
      <c r="G427">
        <v>989</v>
      </c>
      <c r="H427" s="1">
        <v>46043</v>
      </c>
      <c r="I427" s="1">
        <v>46041</v>
      </c>
      <c r="J427">
        <v>91</v>
      </c>
      <c r="K427">
        <v>152</v>
      </c>
      <c r="L427">
        <f t="shared" si="30"/>
        <v>-2</v>
      </c>
      <c r="M427" s="6">
        <f t="shared" si="31"/>
        <v>1</v>
      </c>
      <c r="N427" s="6">
        <f t="shared" si="32"/>
        <v>0.92</v>
      </c>
      <c r="O427" s="6">
        <f t="shared" si="33"/>
        <v>0.90798786653185037</v>
      </c>
      <c r="P427">
        <f t="shared" si="34"/>
        <v>150328</v>
      </c>
      <c r="Q427" s="6">
        <f>MIN(Table1[Unit Price])/Table1[[#This Row],[Unit Price]]</f>
        <v>3.2894736842105261E-2</v>
      </c>
      <c r="R427" s="8">
        <f>IF(Table1[[#This Row],[Delivery Delay]]&gt;0,1,0)</f>
        <v>0</v>
      </c>
      <c r="S427" s="6">
        <f>(Table1[[#This Row],[OTD]]*0.4)+(Table1[[#This Row],[Quality Rate]]*0.3)+(Table1[[#This Row],[Fill Rate]]*0.2)+(Table1[[#This Row],[Cost Score]]*0.1)</f>
        <v>0.85968583364376561</v>
      </c>
      <c r="T427">
        <f>MAX(Table1[OTD])</f>
        <v>1</v>
      </c>
      <c r="U427" t="str">
        <f>IF(Table1[[#This Row],[Vendor Score]]&gt;=90%,"Excellent",IF(Table1[[#This Row],[Vendor Score]]&gt;=75%,"Moderate","Poor"))</f>
        <v>Moderate</v>
      </c>
    </row>
    <row r="428" spans="1:21" x14ac:dyDescent="0.35">
      <c r="A428" t="s">
        <v>475</v>
      </c>
      <c r="B428" t="s">
        <v>12</v>
      </c>
      <c r="C428" t="s">
        <v>13</v>
      </c>
      <c r="D428" t="s">
        <v>33</v>
      </c>
      <c r="E428" t="s">
        <v>34</v>
      </c>
      <c r="F428">
        <v>4927</v>
      </c>
      <c r="G428">
        <v>4763</v>
      </c>
      <c r="H428" s="1">
        <v>46184</v>
      </c>
      <c r="I428" s="1">
        <v>46184</v>
      </c>
      <c r="J428">
        <v>572</v>
      </c>
      <c r="K428">
        <v>230</v>
      </c>
      <c r="L428">
        <f t="shared" si="30"/>
        <v>0</v>
      </c>
      <c r="M428" s="6">
        <f t="shared" si="31"/>
        <v>1</v>
      </c>
      <c r="N428" s="6">
        <f t="shared" si="32"/>
        <v>0.96671402476151813</v>
      </c>
      <c r="O428" s="6">
        <f t="shared" si="33"/>
        <v>0.87990762124711319</v>
      </c>
      <c r="P428">
        <f t="shared" si="34"/>
        <v>1095490</v>
      </c>
      <c r="Q428" s="6">
        <f>MIN(Table1[Unit Price])/Table1[[#This Row],[Unit Price]]</f>
        <v>2.1739130434782608E-2</v>
      </c>
      <c r="R428" s="8">
        <f>IF(Table1[[#This Row],[Delivery Delay]]&gt;0,1,0)</f>
        <v>0</v>
      </c>
      <c r="S428" s="6">
        <f>(Table1[[#This Row],[OTD]]*0.4)+(Table1[[#This Row],[Quality Rate]]*0.3)+(Table1[[#This Row],[Fill Rate]]*0.2)+(Table1[[#This Row],[Cost Score]]*0.1)</f>
        <v>0.85948900436991582</v>
      </c>
      <c r="T428">
        <f>MAX(Table1[OTD])</f>
        <v>1</v>
      </c>
      <c r="U428" t="str">
        <f>IF(Table1[[#This Row],[Vendor Score]]&gt;=90%,"Excellent",IF(Table1[[#This Row],[Vendor Score]]&gt;=75%,"Moderate","Poor"))</f>
        <v>Moderate</v>
      </c>
    </row>
    <row r="429" spans="1:21" x14ac:dyDescent="0.35">
      <c r="A429" t="s">
        <v>463</v>
      </c>
      <c r="B429" t="s">
        <v>12</v>
      </c>
      <c r="C429" t="s">
        <v>13</v>
      </c>
      <c r="D429" t="s">
        <v>33</v>
      </c>
      <c r="E429" t="s">
        <v>24</v>
      </c>
      <c r="F429">
        <v>1193</v>
      </c>
      <c r="G429">
        <v>1130</v>
      </c>
      <c r="H429" s="1">
        <v>46145</v>
      </c>
      <c r="I429" s="1">
        <v>46145</v>
      </c>
      <c r="J429">
        <v>140</v>
      </c>
      <c r="K429">
        <v>71</v>
      </c>
      <c r="L429">
        <f t="shared" si="30"/>
        <v>0</v>
      </c>
      <c r="M429" s="6">
        <f t="shared" si="31"/>
        <v>1</v>
      </c>
      <c r="N429" s="6">
        <f t="shared" si="32"/>
        <v>0.94719195305951387</v>
      </c>
      <c r="O429" s="6">
        <f t="shared" si="33"/>
        <v>0.87610619469026552</v>
      </c>
      <c r="P429">
        <f t="shared" si="34"/>
        <v>80230</v>
      </c>
      <c r="Q429" s="6">
        <f>MIN(Table1[Unit Price])/Table1[[#This Row],[Unit Price]]</f>
        <v>7.0422535211267609E-2</v>
      </c>
      <c r="R429" s="8">
        <f>IF(Table1[[#This Row],[Delivery Delay]]&gt;0,1,0)</f>
        <v>0</v>
      </c>
      <c r="S429" s="6">
        <f>(Table1[[#This Row],[OTD]]*0.4)+(Table1[[#This Row],[Quality Rate]]*0.3)+(Table1[[#This Row],[Fill Rate]]*0.2)+(Table1[[#This Row],[Cost Score]]*0.1)</f>
        <v>0.85931250254010916</v>
      </c>
      <c r="T429">
        <f>MAX(Table1[OTD])</f>
        <v>1</v>
      </c>
      <c r="U429" t="str">
        <f>IF(Table1[[#This Row],[Vendor Score]]&gt;=90%,"Excellent",IF(Table1[[#This Row],[Vendor Score]]&gt;=75%,"Moderate","Poor"))</f>
        <v>Moderate</v>
      </c>
    </row>
    <row r="430" spans="1:21" x14ac:dyDescent="0.35">
      <c r="A430" t="s">
        <v>411</v>
      </c>
      <c r="B430" t="s">
        <v>12</v>
      </c>
      <c r="C430" t="s">
        <v>13</v>
      </c>
      <c r="D430" t="s">
        <v>33</v>
      </c>
      <c r="E430" t="s">
        <v>20</v>
      </c>
      <c r="F430">
        <v>3945</v>
      </c>
      <c r="G430">
        <v>3661</v>
      </c>
      <c r="H430" s="1">
        <v>46209</v>
      </c>
      <c r="I430" s="1">
        <v>46208</v>
      </c>
      <c r="J430">
        <v>445</v>
      </c>
      <c r="K430">
        <v>59</v>
      </c>
      <c r="L430">
        <f t="shared" si="30"/>
        <v>-1</v>
      </c>
      <c r="M430" s="6">
        <f t="shared" si="31"/>
        <v>1</v>
      </c>
      <c r="N430" s="6">
        <f t="shared" si="32"/>
        <v>0.92801013941698351</v>
      </c>
      <c r="O430" s="6">
        <f t="shared" si="33"/>
        <v>0.87844851133570068</v>
      </c>
      <c r="P430">
        <f t="shared" si="34"/>
        <v>215999</v>
      </c>
      <c r="Q430" s="6">
        <f>MIN(Table1[Unit Price])/Table1[[#This Row],[Unit Price]]</f>
        <v>8.4745762711864403E-2</v>
      </c>
      <c r="R430" s="8">
        <f>IF(Table1[[#This Row],[Delivery Delay]]&gt;0,1,0)</f>
        <v>0</v>
      </c>
      <c r="S430" s="6">
        <f>(Table1[[#This Row],[OTD]]*0.4)+(Table1[[#This Row],[Quality Rate]]*0.3)+(Table1[[#This Row],[Fill Rate]]*0.2)+(Table1[[#This Row],[Cost Score]]*0.1)</f>
        <v>0.85761115755529338</v>
      </c>
      <c r="T430">
        <f>MAX(Table1[OTD])</f>
        <v>1</v>
      </c>
      <c r="U430" t="str">
        <f>IF(Table1[[#This Row],[Vendor Score]]&gt;=90%,"Excellent",IF(Table1[[#This Row],[Vendor Score]]&gt;=75%,"Moderate","Poor"))</f>
        <v>Moderate</v>
      </c>
    </row>
    <row r="431" spans="1:21" x14ac:dyDescent="0.35">
      <c r="A431" t="s">
        <v>241</v>
      </c>
      <c r="B431" t="s">
        <v>12</v>
      </c>
      <c r="C431" t="s">
        <v>13</v>
      </c>
      <c r="D431" t="s">
        <v>33</v>
      </c>
      <c r="E431" t="s">
        <v>52</v>
      </c>
      <c r="F431">
        <v>1754</v>
      </c>
      <c r="G431">
        <v>1666</v>
      </c>
      <c r="H431" s="1">
        <v>46096</v>
      </c>
      <c r="I431" s="1">
        <v>46095</v>
      </c>
      <c r="J431">
        <v>201</v>
      </c>
      <c r="K431">
        <v>224</v>
      </c>
      <c r="L431">
        <f t="shared" si="30"/>
        <v>-1</v>
      </c>
      <c r="M431" s="6">
        <f t="shared" si="31"/>
        <v>1</v>
      </c>
      <c r="N431" s="6">
        <f t="shared" si="32"/>
        <v>0.94982896237172176</v>
      </c>
      <c r="O431" s="6">
        <f t="shared" si="33"/>
        <v>0.87935174069627853</v>
      </c>
      <c r="P431">
        <f t="shared" si="34"/>
        <v>373184</v>
      </c>
      <c r="Q431" s="6">
        <f>MIN(Table1[Unit Price])/Table1[[#This Row],[Unit Price]]</f>
        <v>2.2321428571428572E-2</v>
      </c>
      <c r="R431" s="8">
        <f>IF(Table1[[#This Row],[Delivery Delay]]&gt;0,1,0)</f>
        <v>0</v>
      </c>
      <c r="S431" s="6">
        <f>(Table1[[#This Row],[OTD]]*0.4)+(Table1[[#This Row],[Quality Rate]]*0.3)+(Table1[[#This Row],[Fill Rate]]*0.2)+(Table1[[#This Row],[Cost Score]]*0.1)</f>
        <v>0.85600345754037088</v>
      </c>
      <c r="T431">
        <f>MAX(Table1[OTD])</f>
        <v>1</v>
      </c>
      <c r="U431" t="str">
        <f>IF(Table1[[#This Row],[Vendor Score]]&gt;=90%,"Excellent",IF(Table1[[#This Row],[Vendor Score]]&gt;=75%,"Moderate","Poor"))</f>
        <v>Moderate</v>
      </c>
    </row>
    <row r="432" spans="1:21" x14ac:dyDescent="0.35">
      <c r="A432" t="s">
        <v>112</v>
      </c>
      <c r="B432" t="s">
        <v>12</v>
      </c>
      <c r="C432" t="s">
        <v>13</v>
      </c>
      <c r="D432" t="s">
        <v>33</v>
      </c>
      <c r="E432" t="s">
        <v>28</v>
      </c>
      <c r="F432">
        <v>3304</v>
      </c>
      <c r="G432">
        <v>3078</v>
      </c>
      <c r="H432" s="1">
        <v>46278</v>
      </c>
      <c r="I432" s="1">
        <v>46276</v>
      </c>
      <c r="J432">
        <v>374</v>
      </c>
      <c r="K432">
        <v>85</v>
      </c>
      <c r="L432">
        <f t="shared" si="30"/>
        <v>-2</v>
      </c>
      <c r="M432" s="6">
        <f t="shared" si="31"/>
        <v>1</v>
      </c>
      <c r="N432" s="6">
        <f t="shared" si="32"/>
        <v>0.93159806295399517</v>
      </c>
      <c r="O432" s="6">
        <f t="shared" si="33"/>
        <v>0.87849252761533458</v>
      </c>
      <c r="P432">
        <f t="shared" si="34"/>
        <v>261630</v>
      </c>
      <c r="Q432" s="6">
        <f>MIN(Table1[Unit Price])/Table1[[#This Row],[Unit Price]]</f>
        <v>5.8823529411764705E-2</v>
      </c>
      <c r="R432" s="8">
        <f>IF(Table1[[#This Row],[Delivery Delay]]&gt;0,1,0)</f>
        <v>0</v>
      </c>
      <c r="S432" s="6">
        <f>(Table1[[#This Row],[OTD]]*0.4)+(Table1[[#This Row],[Quality Rate]]*0.3)+(Table1[[#This Row],[Fill Rate]]*0.2)+(Table1[[#This Row],[Cost Score]]*0.1)</f>
        <v>0.85574972381657588</v>
      </c>
      <c r="T432">
        <f>MAX(Table1[OTD])</f>
        <v>1</v>
      </c>
      <c r="U432" t="str">
        <f>IF(Table1[[#This Row],[Vendor Score]]&gt;=90%,"Excellent",IF(Table1[[#This Row],[Vendor Score]]&gt;=75%,"Moderate","Poor"))</f>
        <v>Moderate</v>
      </c>
    </row>
    <row r="433" spans="1:21" x14ac:dyDescent="0.35">
      <c r="A433" t="s">
        <v>419</v>
      </c>
      <c r="B433" t="s">
        <v>12</v>
      </c>
      <c r="C433" t="s">
        <v>13</v>
      </c>
      <c r="D433" t="s">
        <v>14</v>
      </c>
      <c r="E433" t="s">
        <v>20</v>
      </c>
      <c r="F433">
        <v>3946</v>
      </c>
      <c r="G433">
        <v>3728</v>
      </c>
      <c r="H433" s="1">
        <v>46230</v>
      </c>
      <c r="I433" s="1">
        <v>46230</v>
      </c>
      <c r="J433">
        <v>453</v>
      </c>
      <c r="K433">
        <v>171</v>
      </c>
      <c r="L433">
        <f t="shared" si="30"/>
        <v>0</v>
      </c>
      <c r="M433" s="6">
        <f t="shared" si="31"/>
        <v>1</v>
      </c>
      <c r="N433" s="6">
        <f t="shared" si="32"/>
        <v>0.94475418144956913</v>
      </c>
      <c r="O433" s="6">
        <f t="shared" si="33"/>
        <v>0.87848712446351929</v>
      </c>
      <c r="P433">
        <f t="shared" si="34"/>
        <v>637488</v>
      </c>
      <c r="Q433" s="6">
        <f>MIN(Table1[Unit Price])/Table1[[#This Row],[Unit Price]]</f>
        <v>2.9239766081871343E-2</v>
      </c>
      <c r="R433" s="8">
        <f>IF(Table1[[#This Row],[Delivery Delay]]&gt;0,1,0)</f>
        <v>0</v>
      </c>
      <c r="S433" s="6">
        <f>(Table1[[#This Row],[OTD]]*0.4)+(Table1[[#This Row],[Quality Rate]]*0.3)+(Table1[[#This Row],[Fill Rate]]*0.2)+(Table1[[#This Row],[Cost Score]]*0.1)</f>
        <v>0.85542095023715681</v>
      </c>
      <c r="T433">
        <f>MAX(Table1[OTD])</f>
        <v>1</v>
      </c>
      <c r="U433" t="str">
        <f>IF(Table1[[#This Row],[Vendor Score]]&gt;=90%,"Excellent",IF(Table1[[#This Row],[Vendor Score]]&gt;=75%,"Moderate","Poor"))</f>
        <v>Moderate</v>
      </c>
    </row>
    <row r="434" spans="1:21" x14ac:dyDescent="0.35">
      <c r="A434" t="s">
        <v>383</v>
      </c>
      <c r="B434" t="s">
        <v>12</v>
      </c>
      <c r="C434" t="s">
        <v>13</v>
      </c>
      <c r="D434" t="s">
        <v>19</v>
      </c>
      <c r="E434" t="s">
        <v>57</v>
      </c>
      <c r="F434">
        <v>3925</v>
      </c>
      <c r="G434">
        <v>3691</v>
      </c>
      <c r="H434" s="1">
        <v>46302</v>
      </c>
      <c r="I434" s="1">
        <v>46302</v>
      </c>
      <c r="J434">
        <v>443</v>
      </c>
      <c r="K434">
        <v>153</v>
      </c>
      <c r="L434">
        <f t="shared" si="30"/>
        <v>0</v>
      </c>
      <c r="M434" s="6">
        <f t="shared" si="31"/>
        <v>1</v>
      </c>
      <c r="N434" s="6">
        <f t="shared" si="32"/>
        <v>0.94038216560509558</v>
      </c>
      <c r="O434" s="6">
        <f t="shared" si="33"/>
        <v>0.87997832565700351</v>
      </c>
      <c r="P434">
        <f t="shared" si="34"/>
        <v>564723</v>
      </c>
      <c r="Q434" s="6">
        <f>MIN(Table1[Unit Price])/Table1[[#This Row],[Unit Price]]</f>
        <v>3.2679738562091505E-2</v>
      </c>
      <c r="R434" s="8">
        <f>IF(Table1[[#This Row],[Delivery Delay]]&gt;0,1,0)</f>
        <v>0</v>
      </c>
      <c r="S434" s="6">
        <f>(Table1[[#This Row],[OTD]]*0.4)+(Table1[[#This Row],[Quality Rate]]*0.3)+(Table1[[#This Row],[Fill Rate]]*0.2)+(Table1[[#This Row],[Cost Score]]*0.1)</f>
        <v>0.85533790467432946</v>
      </c>
      <c r="T434">
        <f>MAX(Table1[OTD])</f>
        <v>1</v>
      </c>
      <c r="U434" t="str">
        <f>IF(Table1[[#This Row],[Vendor Score]]&gt;=90%,"Excellent",IF(Table1[[#This Row],[Vendor Score]]&gt;=75%,"Moderate","Poor"))</f>
        <v>Moderate</v>
      </c>
    </row>
    <row r="435" spans="1:21" x14ac:dyDescent="0.35">
      <c r="A435" t="s">
        <v>389</v>
      </c>
      <c r="B435" t="s">
        <v>12</v>
      </c>
      <c r="C435" t="s">
        <v>13</v>
      </c>
      <c r="D435" t="s">
        <v>33</v>
      </c>
      <c r="E435" t="s">
        <v>15</v>
      </c>
      <c r="F435">
        <v>2362</v>
      </c>
      <c r="G435">
        <v>2220</v>
      </c>
      <c r="H435" s="1">
        <v>46361</v>
      </c>
      <c r="I435" s="1">
        <v>46361</v>
      </c>
      <c r="J435">
        <v>269</v>
      </c>
      <c r="K435">
        <v>170</v>
      </c>
      <c r="L435">
        <f t="shared" si="30"/>
        <v>0</v>
      </c>
      <c r="M435" s="6">
        <f t="shared" si="31"/>
        <v>1</v>
      </c>
      <c r="N435" s="6">
        <f t="shared" si="32"/>
        <v>0.93988145639288734</v>
      </c>
      <c r="O435" s="6">
        <f t="shared" si="33"/>
        <v>0.87882882882882885</v>
      </c>
      <c r="P435">
        <f t="shared" si="34"/>
        <v>377400</v>
      </c>
      <c r="Q435" s="6">
        <f>MIN(Table1[Unit Price])/Table1[[#This Row],[Unit Price]]</f>
        <v>2.9411764705882353E-2</v>
      </c>
      <c r="R435" s="8">
        <f>IF(Table1[[#This Row],[Delivery Delay]]&gt;0,1,0)</f>
        <v>0</v>
      </c>
      <c r="S435" s="6">
        <f>(Table1[[#This Row],[OTD]]*0.4)+(Table1[[#This Row],[Quality Rate]]*0.3)+(Table1[[#This Row],[Fill Rate]]*0.2)+(Table1[[#This Row],[Cost Score]]*0.1)</f>
        <v>0.85456611639781432</v>
      </c>
      <c r="T435">
        <f>MAX(Table1[OTD])</f>
        <v>1</v>
      </c>
      <c r="U435" t="str">
        <f>IF(Table1[[#This Row],[Vendor Score]]&gt;=90%,"Excellent",IF(Table1[[#This Row],[Vendor Score]]&gt;=75%,"Moderate","Poor"))</f>
        <v>Moderate</v>
      </c>
    </row>
    <row r="436" spans="1:21" x14ac:dyDescent="0.35">
      <c r="A436" t="s">
        <v>168</v>
      </c>
      <c r="B436" t="s">
        <v>12</v>
      </c>
      <c r="C436" t="s">
        <v>13</v>
      </c>
      <c r="D436" t="s">
        <v>19</v>
      </c>
      <c r="E436" t="s">
        <v>63</v>
      </c>
      <c r="F436">
        <v>3480</v>
      </c>
      <c r="G436">
        <v>3276</v>
      </c>
      <c r="H436" s="1">
        <v>46076</v>
      </c>
      <c r="I436" s="1">
        <v>46076</v>
      </c>
      <c r="J436">
        <v>397</v>
      </c>
      <c r="K436">
        <v>189</v>
      </c>
      <c r="L436">
        <f t="shared" si="30"/>
        <v>0</v>
      </c>
      <c r="M436" s="6">
        <f t="shared" si="31"/>
        <v>1</v>
      </c>
      <c r="N436" s="6">
        <f t="shared" si="32"/>
        <v>0.94137931034482758</v>
      </c>
      <c r="O436" s="6">
        <f t="shared" si="33"/>
        <v>0.8788156288156288</v>
      </c>
      <c r="P436">
        <f t="shared" si="34"/>
        <v>619164</v>
      </c>
      <c r="Q436" s="6">
        <f>MIN(Table1[Unit Price])/Table1[[#This Row],[Unit Price]]</f>
        <v>2.6455026455026454E-2</v>
      </c>
      <c r="R436" s="8">
        <f>IF(Table1[[#This Row],[Delivery Delay]]&gt;0,1,0)</f>
        <v>0</v>
      </c>
      <c r="S436" s="6">
        <f>(Table1[[#This Row],[OTD]]*0.4)+(Table1[[#This Row],[Quality Rate]]*0.3)+(Table1[[#This Row],[Fill Rate]]*0.2)+(Table1[[#This Row],[Cost Score]]*0.1)</f>
        <v>0.85456605335915692</v>
      </c>
      <c r="T436">
        <f>MAX(Table1[OTD])</f>
        <v>1</v>
      </c>
      <c r="U436" t="str">
        <f>IF(Table1[[#This Row],[Vendor Score]]&gt;=90%,"Excellent",IF(Table1[[#This Row],[Vendor Score]]&gt;=75%,"Moderate","Poor"))</f>
        <v>Moderate</v>
      </c>
    </row>
    <row r="437" spans="1:21" x14ac:dyDescent="0.35">
      <c r="A437" t="s">
        <v>450</v>
      </c>
      <c r="B437" t="s">
        <v>12</v>
      </c>
      <c r="C437" t="s">
        <v>13</v>
      </c>
      <c r="D437" t="s">
        <v>55</v>
      </c>
      <c r="E437" t="s">
        <v>52</v>
      </c>
      <c r="F437">
        <v>1163</v>
      </c>
      <c r="G437">
        <v>1097</v>
      </c>
      <c r="H437" s="1">
        <v>46095</v>
      </c>
      <c r="I437" s="1">
        <v>46095</v>
      </c>
      <c r="J437">
        <v>137</v>
      </c>
      <c r="K437">
        <v>149</v>
      </c>
      <c r="L437">
        <f t="shared" si="30"/>
        <v>0</v>
      </c>
      <c r="M437" s="6">
        <f t="shared" si="31"/>
        <v>1</v>
      </c>
      <c r="N437" s="6">
        <f t="shared" si="32"/>
        <v>0.94325021496130701</v>
      </c>
      <c r="O437" s="6">
        <f t="shared" si="33"/>
        <v>0.87511394712853241</v>
      </c>
      <c r="P437">
        <f t="shared" si="34"/>
        <v>163453</v>
      </c>
      <c r="Q437" s="6">
        <f>MIN(Table1[Unit Price])/Table1[[#This Row],[Unit Price]]</f>
        <v>3.3557046979865772E-2</v>
      </c>
      <c r="R437" s="8">
        <f>IF(Table1[[#This Row],[Delivery Delay]]&gt;0,1,0)</f>
        <v>0</v>
      </c>
      <c r="S437" s="6">
        <f>(Table1[[#This Row],[OTD]]*0.4)+(Table1[[#This Row],[Quality Rate]]*0.3)+(Table1[[#This Row],[Fill Rate]]*0.2)+(Table1[[#This Row],[Cost Score]]*0.1)</f>
        <v>0.85453993182880772</v>
      </c>
      <c r="T437">
        <f>MAX(Table1[OTD])</f>
        <v>1</v>
      </c>
      <c r="U437" t="str">
        <f>IF(Table1[[#This Row],[Vendor Score]]&gt;=90%,"Excellent",IF(Table1[[#This Row],[Vendor Score]]&gt;=75%,"Moderate","Poor"))</f>
        <v>Moderate</v>
      </c>
    </row>
    <row r="438" spans="1:21" x14ac:dyDescent="0.35">
      <c r="A438" t="s">
        <v>330</v>
      </c>
      <c r="B438" t="s">
        <v>12</v>
      </c>
      <c r="C438" t="s">
        <v>13</v>
      </c>
      <c r="D438" t="s">
        <v>33</v>
      </c>
      <c r="E438" t="s">
        <v>24</v>
      </c>
      <c r="F438">
        <v>4379</v>
      </c>
      <c r="G438">
        <v>4110</v>
      </c>
      <c r="H438" s="1">
        <v>46158</v>
      </c>
      <c r="I438" s="1">
        <v>46158</v>
      </c>
      <c r="J438">
        <v>498</v>
      </c>
      <c r="K438">
        <v>235</v>
      </c>
      <c r="L438">
        <f t="shared" si="30"/>
        <v>0</v>
      </c>
      <c r="M438" s="6">
        <f t="shared" si="31"/>
        <v>1</v>
      </c>
      <c r="N438" s="6">
        <f t="shared" si="32"/>
        <v>0.93857044987440053</v>
      </c>
      <c r="O438" s="6">
        <f t="shared" si="33"/>
        <v>0.87883211678832118</v>
      </c>
      <c r="P438">
        <f t="shared" si="34"/>
        <v>965850</v>
      </c>
      <c r="Q438" s="6">
        <f>MIN(Table1[Unit Price])/Table1[[#This Row],[Unit Price]]</f>
        <v>2.1276595744680851E-2</v>
      </c>
      <c r="R438" s="8">
        <f>IF(Table1[[#This Row],[Delivery Delay]]&gt;0,1,0)</f>
        <v>0</v>
      </c>
      <c r="S438" s="6">
        <f>(Table1[[#This Row],[OTD]]*0.4)+(Table1[[#This Row],[Quality Rate]]*0.3)+(Table1[[#This Row],[Fill Rate]]*0.2)+(Table1[[#This Row],[Cost Score]]*0.1)</f>
        <v>0.85349138458584461</v>
      </c>
      <c r="T438">
        <f>MAX(Table1[OTD])</f>
        <v>1</v>
      </c>
      <c r="U438" t="str">
        <f>IF(Table1[[#This Row],[Vendor Score]]&gt;=90%,"Excellent",IF(Table1[[#This Row],[Vendor Score]]&gt;=75%,"Moderate","Poor"))</f>
        <v>Moderate</v>
      </c>
    </row>
    <row r="439" spans="1:21" x14ac:dyDescent="0.35">
      <c r="A439" t="s">
        <v>238</v>
      </c>
      <c r="B439" t="s">
        <v>12</v>
      </c>
      <c r="C439" t="s">
        <v>13</v>
      </c>
      <c r="D439" t="s">
        <v>55</v>
      </c>
      <c r="E439" t="s">
        <v>70</v>
      </c>
      <c r="F439">
        <v>906</v>
      </c>
      <c r="G439">
        <v>842</v>
      </c>
      <c r="H439" s="1">
        <v>46047</v>
      </c>
      <c r="I439" s="1">
        <v>46047</v>
      </c>
      <c r="J439">
        <v>103</v>
      </c>
      <c r="K439">
        <v>138</v>
      </c>
      <c r="L439">
        <f t="shared" si="30"/>
        <v>0</v>
      </c>
      <c r="M439" s="6">
        <f t="shared" si="31"/>
        <v>1</v>
      </c>
      <c r="N439" s="6">
        <f t="shared" si="32"/>
        <v>0.92935982339955847</v>
      </c>
      <c r="O439" s="6">
        <f t="shared" si="33"/>
        <v>0.8776722090261283</v>
      </c>
      <c r="P439">
        <f t="shared" si="34"/>
        <v>116196</v>
      </c>
      <c r="Q439" s="6">
        <f>MIN(Table1[Unit Price])/Table1[[#This Row],[Unit Price]]</f>
        <v>3.6231884057971016E-2</v>
      </c>
      <c r="R439" s="8">
        <f>IF(Table1[[#This Row],[Delivery Delay]]&gt;0,1,0)</f>
        <v>0</v>
      </c>
      <c r="S439" s="6">
        <f>(Table1[[#This Row],[OTD]]*0.4)+(Table1[[#This Row],[Quality Rate]]*0.3)+(Table1[[#This Row],[Fill Rate]]*0.2)+(Table1[[#This Row],[Cost Score]]*0.1)</f>
        <v>0.85279681579354738</v>
      </c>
      <c r="T439">
        <f>MAX(Table1[OTD])</f>
        <v>1</v>
      </c>
      <c r="U439" t="str">
        <f>IF(Table1[[#This Row],[Vendor Score]]&gt;=90%,"Excellent",IF(Table1[[#This Row],[Vendor Score]]&gt;=75%,"Moderate","Poor"))</f>
        <v>Moderate</v>
      </c>
    </row>
    <row r="440" spans="1:21" x14ac:dyDescent="0.35">
      <c r="A440" t="s">
        <v>174</v>
      </c>
      <c r="B440" t="s">
        <v>12</v>
      </c>
      <c r="C440" t="s">
        <v>13</v>
      </c>
      <c r="D440" t="s">
        <v>19</v>
      </c>
      <c r="E440" t="s">
        <v>24</v>
      </c>
      <c r="F440">
        <v>3660</v>
      </c>
      <c r="G440">
        <v>3377</v>
      </c>
      <c r="H440" s="1">
        <v>46143</v>
      </c>
      <c r="I440" s="1">
        <v>46141</v>
      </c>
      <c r="J440">
        <v>407</v>
      </c>
      <c r="K440">
        <v>120</v>
      </c>
      <c r="L440">
        <f t="shared" si="30"/>
        <v>-2</v>
      </c>
      <c r="M440" s="6">
        <f t="shared" si="31"/>
        <v>1</v>
      </c>
      <c r="N440" s="6">
        <f t="shared" si="32"/>
        <v>0.92267759562841534</v>
      </c>
      <c r="O440" s="6">
        <f t="shared" si="33"/>
        <v>0.87947882736156346</v>
      </c>
      <c r="P440">
        <f t="shared" si="34"/>
        <v>405240</v>
      </c>
      <c r="Q440" s="6">
        <f>MIN(Table1[Unit Price])/Table1[[#This Row],[Unit Price]]</f>
        <v>4.1666666666666664E-2</v>
      </c>
      <c r="R440" s="8">
        <f>IF(Table1[[#This Row],[Delivery Delay]]&gt;0,1,0)</f>
        <v>0</v>
      </c>
      <c r="S440" s="6">
        <f>(Table1[[#This Row],[OTD]]*0.4)+(Table1[[#This Row],[Quality Rate]]*0.3)+(Table1[[#This Row],[Fill Rate]]*0.2)+(Table1[[#This Row],[Cost Score]]*0.1)</f>
        <v>0.85254583400081885</v>
      </c>
      <c r="T440">
        <f>MAX(Table1[OTD])</f>
        <v>1</v>
      </c>
      <c r="U440" t="str">
        <f>IF(Table1[[#This Row],[Vendor Score]]&gt;=90%,"Excellent",IF(Table1[[#This Row],[Vendor Score]]&gt;=75%,"Moderate","Poor"))</f>
        <v>Moderate</v>
      </c>
    </row>
    <row r="441" spans="1:21" x14ac:dyDescent="0.35">
      <c r="A441" t="s">
        <v>489</v>
      </c>
      <c r="B441" t="s">
        <v>22</v>
      </c>
      <c r="C441" t="s">
        <v>23</v>
      </c>
      <c r="D441" t="s">
        <v>14</v>
      </c>
      <c r="E441" t="s">
        <v>96</v>
      </c>
      <c r="F441">
        <v>1053</v>
      </c>
      <c r="G441">
        <v>980</v>
      </c>
      <c r="H441" s="1">
        <v>46117</v>
      </c>
      <c r="I441" s="1">
        <v>46124</v>
      </c>
      <c r="J441">
        <v>69</v>
      </c>
      <c r="K441">
        <v>5</v>
      </c>
      <c r="L441">
        <f t="shared" si="30"/>
        <v>7</v>
      </c>
      <c r="M441" s="6">
        <f t="shared" si="31"/>
        <v>0</v>
      </c>
      <c r="N441" s="6">
        <f t="shared" si="32"/>
        <v>0.93067426400759734</v>
      </c>
      <c r="O441" s="6">
        <f t="shared" si="33"/>
        <v>0.92959183673469392</v>
      </c>
      <c r="P441">
        <f t="shared" si="34"/>
        <v>4900</v>
      </c>
      <c r="Q441" s="6">
        <f>MIN(Table1[Unit Price])/Table1[[#This Row],[Unit Price]]</f>
        <v>1</v>
      </c>
      <c r="R441" s="8">
        <f>IF(Table1[[#This Row],[Delivery Delay]]&gt;0,1,0)</f>
        <v>1</v>
      </c>
      <c r="S441" s="6">
        <f>(Table1[[#This Row],[OTD]]*0.4)+(Table1[[#This Row],[Quality Rate]]*0.3)+(Table1[[#This Row],[Fill Rate]]*0.2)+(Table1[[#This Row],[Cost Score]]*0.1)</f>
        <v>0.56501240382192763</v>
      </c>
      <c r="T441">
        <f>MAX(Table1[OTD])</f>
        <v>1</v>
      </c>
      <c r="U441" t="str">
        <f>IF(Table1[[#This Row],[Vendor Score]]&gt;=90%,"Excellent",IF(Table1[[#This Row],[Vendor Score]]&gt;=75%,"Moderate","Poor"))</f>
        <v>Poor</v>
      </c>
    </row>
    <row r="442" spans="1:21" x14ac:dyDescent="0.35">
      <c r="A442" t="s">
        <v>401</v>
      </c>
      <c r="B442" t="s">
        <v>22</v>
      </c>
      <c r="C442" t="s">
        <v>23</v>
      </c>
      <c r="D442" t="s">
        <v>55</v>
      </c>
      <c r="E442" t="s">
        <v>47</v>
      </c>
      <c r="F442">
        <v>4208</v>
      </c>
      <c r="G442">
        <v>4191</v>
      </c>
      <c r="H442" s="1">
        <v>46340</v>
      </c>
      <c r="I442" s="1">
        <v>46342</v>
      </c>
      <c r="J442">
        <v>296</v>
      </c>
      <c r="K442">
        <v>6</v>
      </c>
      <c r="L442">
        <f t="shared" si="30"/>
        <v>2</v>
      </c>
      <c r="M442" s="6">
        <f t="shared" si="31"/>
        <v>0</v>
      </c>
      <c r="N442" s="6">
        <f t="shared" si="32"/>
        <v>0.99596007604562742</v>
      </c>
      <c r="O442" s="6">
        <f t="shared" si="33"/>
        <v>0.9293724648055357</v>
      </c>
      <c r="P442">
        <f t="shared" si="34"/>
        <v>25146</v>
      </c>
      <c r="Q442" s="6">
        <f>MIN(Table1[Unit Price])/Table1[[#This Row],[Unit Price]]</f>
        <v>0.83333333333333337</v>
      </c>
      <c r="R442" s="8">
        <f>IF(Table1[[#This Row],[Delivery Delay]]&gt;0,1,0)</f>
        <v>1</v>
      </c>
      <c r="S442" s="6">
        <f>(Table1[[#This Row],[OTD]]*0.4)+(Table1[[#This Row],[Quality Rate]]*0.3)+(Table1[[#This Row],[Fill Rate]]*0.2)+(Table1[[#This Row],[Cost Score]]*0.1)</f>
        <v>0.56133708798411952</v>
      </c>
      <c r="T442">
        <f>MAX(Table1[OTD])</f>
        <v>1</v>
      </c>
      <c r="U442" t="str">
        <f>IF(Table1[[#This Row],[Vendor Score]]&gt;=90%,"Excellent",IF(Table1[[#This Row],[Vendor Score]]&gt;=75%,"Moderate","Poor"))</f>
        <v>Poor</v>
      </c>
    </row>
    <row r="443" spans="1:21" x14ac:dyDescent="0.35">
      <c r="A443" t="s">
        <v>529</v>
      </c>
      <c r="B443" t="s">
        <v>78</v>
      </c>
      <c r="C443" t="s">
        <v>79</v>
      </c>
      <c r="D443" t="s">
        <v>33</v>
      </c>
      <c r="E443" t="s">
        <v>40</v>
      </c>
      <c r="F443">
        <v>2107</v>
      </c>
      <c r="G443">
        <v>2025</v>
      </c>
      <c r="H443" s="1">
        <v>46235</v>
      </c>
      <c r="I443" s="1">
        <v>46245</v>
      </c>
      <c r="J443">
        <v>106</v>
      </c>
      <c r="K443">
        <v>9</v>
      </c>
      <c r="L443">
        <f t="shared" si="30"/>
        <v>10</v>
      </c>
      <c r="M443" s="6">
        <f t="shared" si="31"/>
        <v>0</v>
      </c>
      <c r="N443" s="6">
        <f t="shared" si="32"/>
        <v>0.96108210726150922</v>
      </c>
      <c r="O443" s="6">
        <f t="shared" si="33"/>
        <v>0.94765432098765434</v>
      </c>
      <c r="P443">
        <f t="shared" si="34"/>
        <v>18225</v>
      </c>
      <c r="Q443" s="6">
        <f>MIN(Table1[Unit Price])/Table1[[#This Row],[Unit Price]]</f>
        <v>0.55555555555555558</v>
      </c>
      <c r="R443" s="8">
        <f>IF(Table1[[#This Row],[Delivery Delay]]&gt;0,1,0)</f>
        <v>1</v>
      </c>
      <c r="S443" s="6">
        <f>(Table1[[#This Row],[OTD]]*0.4)+(Table1[[#This Row],[Quality Rate]]*0.3)+(Table1[[#This Row],[Fill Rate]]*0.2)+(Table1[[#This Row],[Cost Score]]*0.1)</f>
        <v>0.53206827330415374</v>
      </c>
      <c r="T443">
        <f>MAX(Table1[OTD])</f>
        <v>1</v>
      </c>
      <c r="U443" t="str">
        <f>IF(Table1[[#This Row],[Vendor Score]]&gt;=90%,"Excellent",IF(Table1[[#This Row],[Vendor Score]]&gt;=75%,"Moderate","Poor"))</f>
        <v>Poor</v>
      </c>
    </row>
    <row r="444" spans="1:21" x14ac:dyDescent="0.35">
      <c r="A444" t="s">
        <v>365</v>
      </c>
      <c r="B444" t="s">
        <v>38</v>
      </c>
      <c r="C444" t="s">
        <v>39</v>
      </c>
      <c r="D444" t="s">
        <v>19</v>
      </c>
      <c r="E444" t="s">
        <v>15</v>
      </c>
      <c r="F444">
        <v>1782</v>
      </c>
      <c r="G444">
        <v>1703</v>
      </c>
      <c r="H444" s="1">
        <v>46363</v>
      </c>
      <c r="I444" s="1">
        <v>46366</v>
      </c>
      <c r="J444">
        <v>37</v>
      </c>
      <c r="K444">
        <v>26</v>
      </c>
      <c r="L444">
        <f t="shared" si="30"/>
        <v>3</v>
      </c>
      <c r="M444" s="6">
        <f t="shared" si="31"/>
        <v>0</v>
      </c>
      <c r="N444" s="6">
        <f t="shared" si="32"/>
        <v>0.95566778900112237</v>
      </c>
      <c r="O444" s="6">
        <f t="shared" si="33"/>
        <v>0.97827363476218443</v>
      </c>
      <c r="P444">
        <f t="shared" si="34"/>
        <v>44278</v>
      </c>
      <c r="Q444" s="6">
        <f>MIN(Table1[Unit Price])/Table1[[#This Row],[Unit Price]]</f>
        <v>0.19230769230769232</v>
      </c>
      <c r="R444" s="8">
        <f>IF(Table1[[#This Row],[Delivery Delay]]&gt;0,1,0)</f>
        <v>1</v>
      </c>
      <c r="S444" s="6">
        <f>(Table1[[#This Row],[OTD]]*0.4)+(Table1[[#This Row],[Quality Rate]]*0.3)+(Table1[[#This Row],[Fill Rate]]*0.2)+(Table1[[#This Row],[Cost Score]]*0.1)</f>
        <v>0.50384641745964909</v>
      </c>
      <c r="T444">
        <f>MAX(Table1[OTD])</f>
        <v>1</v>
      </c>
      <c r="U444" t="str">
        <f>IF(Table1[[#This Row],[Vendor Score]]&gt;=90%,"Excellent",IF(Table1[[#This Row],[Vendor Score]]&gt;=75%,"Moderate","Poor"))</f>
        <v>Poor</v>
      </c>
    </row>
    <row r="445" spans="1:21" x14ac:dyDescent="0.35">
      <c r="A445" t="s">
        <v>221</v>
      </c>
      <c r="B445" t="s">
        <v>59</v>
      </c>
      <c r="C445" t="s">
        <v>60</v>
      </c>
      <c r="D445" t="s">
        <v>19</v>
      </c>
      <c r="E445" t="s">
        <v>96</v>
      </c>
      <c r="F445">
        <v>3109</v>
      </c>
      <c r="G445">
        <v>3065</v>
      </c>
      <c r="H445" s="1">
        <v>46113</v>
      </c>
      <c r="I445" s="1">
        <v>46115</v>
      </c>
      <c r="J445">
        <v>184</v>
      </c>
      <c r="K445">
        <v>22</v>
      </c>
      <c r="L445">
        <f t="shared" si="30"/>
        <v>2</v>
      </c>
      <c r="M445" s="6">
        <f t="shared" si="31"/>
        <v>0</v>
      </c>
      <c r="N445" s="6">
        <f t="shared" si="32"/>
        <v>0.98584753940173686</v>
      </c>
      <c r="O445" s="6">
        <f t="shared" si="33"/>
        <v>0.93996737357259386</v>
      </c>
      <c r="P445">
        <f t="shared" si="34"/>
        <v>67430</v>
      </c>
      <c r="Q445" s="6">
        <f>MIN(Table1[Unit Price])/Table1[[#This Row],[Unit Price]]</f>
        <v>0.22727272727272727</v>
      </c>
      <c r="R445" s="8">
        <f>IF(Table1[[#This Row],[Delivery Delay]]&gt;0,1,0)</f>
        <v>1</v>
      </c>
      <c r="S445" s="6">
        <f>(Table1[[#This Row],[OTD]]*0.4)+(Table1[[#This Row],[Quality Rate]]*0.3)+(Table1[[#This Row],[Fill Rate]]*0.2)+(Table1[[#This Row],[Cost Score]]*0.1)</f>
        <v>0.50188699267939829</v>
      </c>
      <c r="T445">
        <f>MAX(Table1[OTD])</f>
        <v>1</v>
      </c>
      <c r="U445" t="str">
        <f>IF(Table1[[#This Row],[Vendor Score]]&gt;=90%,"Excellent",IF(Table1[[#This Row],[Vendor Score]]&gt;=75%,"Moderate","Poor"))</f>
        <v>Poor</v>
      </c>
    </row>
    <row r="446" spans="1:21" x14ac:dyDescent="0.35">
      <c r="A446" t="s">
        <v>29</v>
      </c>
      <c r="B446" t="s">
        <v>30</v>
      </c>
      <c r="C446" t="s">
        <v>31</v>
      </c>
      <c r="D446" t="s">
        <v>14</v>
      </c>
      <c r="E446" t="s">
        <v>15</v>
      </c>
      <c r="F446">
        <v>2903</v>
      </c>
      <c r="G446">
        <v>2685</v>
      </c>
      <c r="H446" s="1">
        <v>46384</v>
      </c>
      <c r="I446" s="1">
        <v>46388</v>
      </c>
      <c r="J446">
        <v>82</v>
      </c>
      <c r="K446">
        <v>23</v>
      </c>
      <c r="L446">
        <f t="shared" si="30"/>
        <v>4</v>
      </c>
      <c r="M446" s="6">
        <f t="shared" si="31"/>
        <v>0</v>
      </c>
      <c r="N446" s="6">
        <f t="shared" si="32"/>
        <v>0.92490527040992077</v>
      </c>
      <c r="O446" s="6">
        <f t="shared" si="33"/>
        <v>0.96945996275605217</v>
      </c>
      <c r="P446">
        <f t="shared" si="34"/>
        <v>61755</v>
      </c>
      <c r="Q446" s="6">
        <f>MIN(Table1[Unit Price])/Table1[[#This Row],[Unit Price]]</f>
        <v>0.21739130434782608</v>
      </c>
      <c r="R446" s="8">
        <f>IF(Table1[[#This Row],[Delivery Delay]]&gt;0,1,0)</f>
        <v>1</v>
      </c>
      <c r="S446" s="6">
        <f>(Table1[[#This Row],[OTD]]*0.4)+(Table1[[#This Row],[Quality Rate]]*0.3)+(Table1[[#This Row],[Fill Rate]]*0.2)+(Table1[[#This Row],[Cost Score]]*0.1)</f>
        <v>0.49755817334358243</v>
      </c>
      <c r="T446">
        <f>MAX(Table1[OTD])</f>
        <v>1</v>
      </c>
      <c r="U446" t="str">
        <f>IF(Table1[[#This Row],[Vendor Score]]&gt;=90%,"Excellent",IF(Table1[[#This Row],[Vendor Score]]&gt;=75%,"Moderate","Poor"))</f>
        <v>Poor</v>
      </c>
    </row>
    <row r="447" spans="1:21" x14ac:dyDescent="0.35">
      <c r="A447" t="s">
        <v>380</v>
      </c>
      <c r="B447" t="s">
        <v>78</v>
      </c>
      <c r="C447" t="s">
        <v>79</v>
      </c>
      <c r="D447" t="s">
        <v>55</v>
      </c>
      <c r="E447" t="s">
        <v>40</v>
      </c>
      <c r="F447">
        <v>792</v>
      </c>
      <c r="G447">
        <v>786</v>
      </c>
      <c r="H447" s="1">
        <v>46256</v>
      </c>
      <c r="I447" s="1">
        <v>46259</v>
      </c>
      <c r="J447">
        <v>43</v>
      </c>
      <c r="K447">
        <v>36</v>
      </c>
      <c r="L447">
        <f t="shared" si="30"/>
        <v>3</v>
      </c>
      <c r="M447" s="6">
        <f t="shared" si="31"/>
        <v>0</v>
      </c>
      <c r="N447" s="6">
        <f t="shared" si="32"/>
        <v>0.99242424242424243</v>
      </c>
      <c r="O447" s="6">
        <f t="shared" si="33"/>
        <v>0.94529262086513999</v>
      </c>
      <c r="P447">
        <f t="shared" si="34"/>
        <v>28296</v>
      </c>
      <c r="Q447" s="6">
        <f>MIN(Table1[Unit Price])/Table1[[#This Row],[Unit Price]]</f>
        <v>0.1388888888888889</v>
      </c>
      <c r="R447" s="8">
        <f>IF(Table1[[#This Row],[Delivery Delay]]&gt;0,1,0)</f>
        <v>1</v>
      </c>
      <c r="S447" s="6">
        <f>(Table1[[#This Row],[OTD]]*0.4)+(Table1[[#This Row],[Quality Rate]]*0.3)+(Table1[[#This Row],[Fill Rate]]*0.2)+(Table1[[#This Row],[Cost Score]]*0.1)</f>
        <v>0.49596152363327939</v>
      </c>
      <c r="T447">
        <f>MAX(Table1[OTD])</f>
        <v>1</v>
      </c>
      <c r="U447" t="str">
        <f>IF(Table1[[#This Row],[Vendor Score]]&gt;=90%,"Excellent",IF(Table1[[#This Row],[Vendor Score]]&gt;=75%,"Moderate","Poor"))</f>
        <v>Poor</v>
      </c>
    </row>
    <row r="448" spans="1:21" x14ac:dyDescent="0.35">
      <c r="A448" t="s">
        <v>439</v>
      </c>
      <c r="B448" t="s">
        <v>38</v>
      </c>
      <c r="C448" t="s">
        <v>39</v>
      </c>
      <c r="D448" t="s">
        <v>55</v>
      </c>
      <c r="E448" t="s">
        <v>20</v>
      </c>
      <c r="F448">
        <v>4299</v>
      </c>
      <c r="G448">
        <v>4283</v>
      </c>
      <c r="H448" s="1">
        <v>46209</v>
      </c>
      <c r="I448" s="1">
        <v>46211</v>
      </c>
      <c r="J448">
        <v>89</v>
      </c>
      <c r="K448">
        <v>183</v>
      </c>
      <c r="L448">
        <f t="shared" si="30"/>
        <v>2</v>
      </c>
      <c r="M448" s="6">
        <f t="shared" si="31"/>
        <v>0</v>
      </c>
      <c r="N448" s="6">
        <f t="shared" si="32"/>
        <v>0.99627820423354263</v>
      </c>
      <c r="O448" s="6">
        <f t="shared" si="33"/>
        <v>0.97922017277609152</v>
      </c>
      <c r="P448">
        <f t="shared" si="34"/>
        <v>783789</v>
      </c>
      <c r="Q448" s="6">
        <f>MIN(Table1[Unit Price])/Table1[[#This Row],[Unit Price]]</f>
        <v>2.7322404371584699E-2</v>
      </c>
      <c r="R448" s="8">
        <f>IF(Table1[[#This Row],[Delivery Delay]]&gt;0,1,0)</f>
        <v>1</v>
      </c>
      <c r="S448" s="6">
        <f>(Table1[[#This Row],[OTD]]*0.4)+(Table1[[#This Row],[Quality Rate]]*0.3)+(Table1[[#This Row],[Fill Rate]]*0.2)+(Table1[[#This Row],[Cost Score]]*0.1)</f>
        <v>0.49575393311669447</v>
      </c>
      <c r="T448">
        <f>MAX(Table1[OTD])</f>
        <v>1</v>
      </c>
      <c r="U448" t="str">
        <f>IF(Table1[[#This Row],[Vendor Score]]&gt;=90%,"Excellent",IF(Table1[[#This Row],[Vendor Score]]&gt;=75%,"Moderate","Poor"))</f>
        <v>Poor</v>
      </c>
    </row>
    <row r="449" spans="1:21" x14ac:dyDescent="0.35">
      <c r="A449" t="s">
        <v>109</v>
      </c>
      <c r="B449" t="s">
        <v>22</v>
      </c>
      <c r="C449" t="s">
        <v>23</v>
      </c>
      <c r="D449" t="s">
        <v>33</v>
      </c>
      <c r="E449" t="s">
        <v>40</v>
      </c>
      <c r="F449">
        <v>1051</v>
      </c>
      <c r="G449">
        <v>1039</v>
      </c>
      <c r="H449" s="1">
        <v>46238</v>
      </c>
      <c r="I449" s="1">
        <v>46247</v>
      </c>
      <c r="J449">
        <v>73</v>
      </c>
      <c r="K449">
        <v>27</v>
      </c>
      <c r="L449">
        <f t="shared" si="30"/>
        <v>9</v>
      </c>
      <c r="M449" s="6">
        <f t="shared" si="31"/>
        <v>0</v>
      </c>
      <c r="N449" s="6">
        <f t="shared" si="32"/>
        <v>0.98858230256898194</v>
      </c>
      <c r="O449" s="6">
        <f t="shared" si="33"/>
        <v>0.9297401347449471</v>
      </c>
      <c r="P449">
        <f t="shared" si="34"/>
        <v>28053</v>
      </c>
      <c r="Q449" s="6">
        <f>MIN(Table1[Unit Price])/Table1[[#This Row],[Unit Price]]</f>
        <v>0.18518518518518517</v>
      </c>
      <c r="R449" s="8">
        <f>IF(Table1[[#This Row],[Delivery Delay]]&gt;0,1,0)</f>
        <v>1</v>
      </c>
      <c r="S449" s="6">
        <f>(Table1[[#This Row],[OTD]]*0.4)+(Table1[[#This Row],[Quality Rate]]*0.3)+(Table1[[#This Row],[Fill Rate]]*0.2)+(Table1[[#This Row],[Cost Score]]*0.1)</f>
        <v>0.49515701945579904</v>
      </c>
      <c r="T449">
        <f>MAX(Table1[OTD])</f>
        <v>1</v>
      </c>
      <c r="U449" t="str">
        <f>IF(Table1[[#This Row],[Vendor Score]]&gt;=90%,"Excellent",IF(Table1[[#This Row],[Vendor Score]]&gt;=75%,"Moderate","Poor"))</f>
        <v>Poor</v>
      </c>
    </row>
    <row r="450" spans="1:21" x14ac:dyDescent="0.35">
      <c r="A450" t="s">
        <v>65</v>
      </c>
      <c r="B450" t="s">
        <v>12</v>
      </c>
      <c r="C450" t="s">
        <v>13</v>
      </c>
      <c r="D450" t="s">
        <v>19</v>
      </c>
      <c r="E450" t="s">
        <v>20</v>
      </c>
      <c r="F450">
        <v>1221</v>
      </c>
      <c r="G450">
        <v>1192</v>
      </c>
      <c r="H450" s="1">
        <v>46206</v>
      </c>
      <c r="I450" s="1">
        <v>46208</v>
      </c>
      <c r="J450">
        <v>144</v>
      </c>
      <c r="K450">
        <v>15</v>
      </c>
      <c r="L450">
        <f t="shared" ref="L450:L501" si="35">I450-H450</f>
        <v>2</v>
      </c>
      <c r="M450" s="6">
        <f t="shared" ref="M450:M501" si="36">IF(L450&lt;=0,1,0)</f>
        <v>0</v>
      </c>
      <c r="N450" s="6">
        <f t="shared" ref="N450:N501" si="37">G450/F450</f>
        <v>0.97624897624897622</v>
      </c>
      <c r="O450" s="6">
        <f t="shared" ref="O450:O501" si="38">(G450-J450)/G450</f>
        <v>0.87919463087248317</v>
      </c>
      <c r="P450">
        <f t="shared" ref="P450:P501" si="39">G450*K450</f>
        <v>17880</v>
      </c>
      <c r="Q450" s="6">
        <f>MIN(Table1[Unit Price])/Table1[[#This Row],[Unit Price]]</f>
        <v>0.33333333333333331</v>
      </c>
      <c r="R450" s="8">
        <f>IF(Table1[[#This Row],[Delivery Delay]]&gt;0,1,0)</f>
        <v>1</v>
      </c>
      <c r="S450" s="6">
        <f>(Table1[[#This Row],[OTD]]*0.4)+(Table1[[#This Row],[Quality Rate]]*0.3)+(Table1[[#This Row],[Fill Rate]]*0.2)+(Table1[[#This Row],[Cost Score]]*0.1)</f>
        <v>0.49234151784487351</v>
      </c>
      <c r="T450">
        <f>MAX(Table1[OTD])</f>
        <v>1</v>
      </c>
      <c r="U450" t="str">
        <f>IF(Table1[[#This Row],[Vendor Score]]&gt;=90%,"Excellent",IF(Table1[[#This Row],[Vendor Score]]&gt;=75%,"Moderate","Poor"))</f>
        <v>Poor</v>
      </c>
    </row>
    <row r="451" spans="1:21" x14ac:dyDescent="0.35">
      <c r="A451" t="s">
        <v>143</v>
      </c>
      <c r="B451" t="s">
        <v>30</v>
      </c>
      <c r="C451" t="s">
        <v>31</v>
      </c>
      <c r="D451" t="s">
        <v>55</v>
      </c>
      <c r="E451" t="s">
        <v>15</v>
      </c>
      <c r="F451">
        <v>1241</v>
      </c>
      <c r="G451">
        <v>1215</v>
      </c>
      <c r="H451" s="1">
        <v>46359</v>
      </c>
      <c r="I451" s="1">
        <v>46362</v>
      </c>
      <c r="J451">
        <v>38</v>
      </c>
      <c r="K451">
        <v>118</v>
      </c>
      <c r="L451">
        <f t="shared" si="35"/>
        <v>3</v>
      </c>
      <c r="M451" s="6">
        <f t="shared" si="36"/>
        <v>0</v>
      </c>
      <c r="N451" s="6">
        <f t="shared" si="37"/>
        <v>0.97904915390813863</v>
      </c>
      <c r="O451" s="6">
        <f t="shared" si="38"/>
        <v>0.968724279835391</v>
      </c>
      <c r="P451">
        <f t="shared" si="39"/>
        <v>143370</v>
      </c>
      <c r="Q451" s="6">
        <f>MIN(Table1[Unit Price])/Table1[[#This Row],[Unit Price]]</f>
        <v>4.2372881355932202E-2</v>
      </c>
      <c r="R451" s="8">
        <f>IF(Table1[[#This Row],[Delivery Delay]]&gt;0,1,0)</f>
        <v>1</v>
      </c>
      <c r="S451" s="6">
        <f>(Table1[[#This Row],[OTD]]*0.4)+(Table1[[#This Row],[Quality Rate]]*0.3)+(Table1[[#This Row],[Fill Rate]]*0.2)+(Table1[[#This Row],[Cost Score]]*0.1)</f>
        <v>0.49066440286783825</v>
      </c>
      <c r="T451">
        <f>MAX(Table1[OTD])</f>
        <v>1</v>
      </c>
      <c r="U451" t="str">
        <f>IF(Table1[[#This Row],[Vendor Score]]&gt;=90%,"Excellent",IF(Table1[[#This Row],[Vendor Score]]&gt;=75%,"Moderate","Poor"))</f>
        <v>Poor</v>
      </c>
    </row>
    <row r="452" spans="1:21" x14ac:dyDescent="0.35">
      <c r="A452" t="s">
        <v>176</v>
      </c>
      <c r="B452" t="s">
        <v>59</v>
      </c>
      <c r="C452" t="s">
        <v>60</v>
      </c>
      <c r="D452" t="s">
        <v>55</v>
      </c>
      <c r="E452" t="s">
        <v>70</v>
      </c>
      <c r="F452">
        <v>810</v>
      </c>
      <c r="G452">
        <v>764</v>
      </c>
      <c r="H452" s="1">
        <v>46026</v>
      </c>
      <c r="I452" s="1">
        <v>46031</v>
      </c>
      <c r="J452">
        <v>49</v>
      </c>
      <c r="K452">
        <v>25</v>
      </c>
      <c r="L452">
        <f t="shared" si="35"/>
        <v>5</v>
      </c>
      <c r="M452" s="6">
        <f t="shared" si="36"/>
        <v>0</v>
      </c>
      <c r="N452" s="6">
        <f t="shared" si="37"/>
        <v>0.94320987654320987</v>
      </c>
      <c r="O452" s="6">
        <f t="shared" si="38"/>
        <v>0.93586387434554974</v>
      </c>
      <c r="P452">
        <f t="shared" si="39"/>
        <v>19100</v>
      </c>
      <c r="Q452" s="6">
        <f>MIN(Table1[Unit Price])/Table1[[#This Row],[Unit Price]]</f>
        <v>0.2</v>
      </c>
      <c r="R452" s="8">
        <f>IF(Table1[[#This Row],[Delivery Delay]]&gt;0,1,0)</f>
        <v>1</v>
      </c>
      <c r="S452" s="6">
        <f>(Table1[[#This Row],[OTD]]*0.4)+(Table1[[#This Row],[Quality Rate]]*0.3)+(Table1[[#This Row],[Fill Rate]]*0.2)+(Table1[[#This Row],[Cost Score]]*0.1)</f>
        <v>0.48940113761230697</v>
      </c>
      <c r="T452">
        <f>MAX(Table1[OTD])</f>
        <v>1</v>
      </c>
      <c r="U452" t="str">
        <f>IF(Table1[[#This Row],[Vendor Score]]&gt;=90%,"Excellent",IF(Table1[[#This Row],[Vendor Score]]&gt;=75%,"Moderate","Poor"))</f>
        <v>Poor</v>
      </c>
    </row>
    <row r="453" spans="1:21" x14ac:dyDescent="0.35">
      <c r="A453" t="s">
        <v>306</v>
      </c>
      <c r="B453" t="s">
        <v>17</v>
      </c>
      <c r="C453" t="s">
        <v>18</v>
      </c>
      <c r="D453" t="s">
        <v>19</v>
      </c>
      <c r="E453" t="s">
        <v>63</v>
      </c>
      <c r="F453">
        <v>4535</v>
      </c>
      <c r="G453">
        <v>4429</v>
      </c>
      <c r="H453" s="1">
        <v>46060</v>
      </c>
      <c r="I453" s="1">
        <v>46063</v>
      </c>
      <c r="J453">
        <v>181</v>
      </c>
      <c r="K453">
        <v>90</v>
      </c>
      <c r="L453">
        <f t="shared" si="35"/>
        <v>3</v>
      </c>
      <c r="M453" s="6">
        <f t="shared" si="36"/>
        <v>0</v>
      </c>
      <c r="N453" s="6">
        <f t="shared" si="37"/>
        <v>0.97662624035281143</v>
      </c>
      <c r="O453" s="6">
        <f t="shared" si="38"/>
        <v>0.95913298713027773</v>
      </c>
      <c r="P453">
        <f t="shared" si="39"/>
        <v>398610</v>
      </c>
      <c r="Q453" s="6">
        <f>MIN(Table1[Unit Price])/Table1[[#This Row],[Unit Price]]</f>
        <v>5.5555555555555552E-2</v>
      </c>
      <c r="R453" s="8">
        <f>IF(Table1[[#This Row],[Delivery Delay]]&gt;0,1,0)</f>
        <v>1</v>
      </c>
      <c r="S453" s="6">
        <f>(Table1[[#This Row],[OTD]]*0.4)+(Table1[[#This Row],[Quality Rate]]*0.3)+(Table1[[#This Row],[Fill Rate]]*0.2)+(Table1[[#This Row],[Cost Score]]*0.1)</f>
        <v>0.48862069976520112</v>
      </c>
      <c r="T453">
        <f>MAX(Table1[OTD])</f>
        <v>1</v>
      </c>
      <c r="U453" t="str">
        <f>IF(Table1[[#This Row],[Vendor Score]]&gt;=90%,"Excellent",IF(Table1[[#This Row],[Vendor Score]]&gt;=75%,"Moderate","Poor"))</f>
        <v>Poor</v>
      </c>
    </row>
    <row r="454" spans="1:21" x14ac:dyDescent="0.35">
      <c r="A454" t="s">
        <v>167</v>
      </c>
      <c r="B454" t="s">
        <v>26</v>
      </c>
      <c r="C454" t="s">
        <v>27</v>
      </c>
      <c r="D454" t="s">
        <v>33</v>
      </c>
      <c r="E454" t="s">
        <v>20</v>
      </c>
      <c r="F454">
        <v>2354</v>
      </c>
      <c r="G454">
        <v>2230</v>
      </c>
      <c r="H454" s="1">
        <v>46218</v>
      </c>
      <c r="I454" s="1">
        <v>46226</v>
      </c>
      <c r="J454">
        <v>27</v>
      </c>
      <c r="K454">
        <v>193</v>
      </c>
      <c r="L454">
        <f t="shared" si="35"/>
        <v>8</v>
      </c>
      <c r="M454" s="6">
        <f t="shared" si="36"/>
        <v>0</v>
      </c>
      <c r="N454" s="6">
        <f t="shared" si="37"/>
        <v>0.94732370433305013</v>
      </c>
      <c r="O454" s="6">
        <f t="shared" si="38"/>
        <v>0.98789237668161434</v>
      </c>
      <c r="P454">
        <f t="shared" si="39"/>
        <v>430390</v>
      </c>
      <c r="Q454" s="6">
        <f>MIN(Table1[Unit Price])/Table1[[#This Row],[Unit Price]]</f>
        <v>2.5906735751295335E-2</v>
      </c>
      <c r="R454" s="8">
        <f>IF(Table1[[#This Row],[Delivery Delay]]&gt;0,1,0)</f>
        <v>1</v>
      </c>
      <c r="S454" s="6">
        <f>(Table1[[#This Row],[OTD]]*0.4)+(Table1[[#This Row],[Quality Rate]]*0.3)+(Table1[[#This Row],[Fill Rate]]*0.2)+(Table1[[#This Row],[Cost Score]]*0.1)</f>
        <v>0.48842312744622385</v>
      </c>
      <c r="T454">
        <f>MAX(Table1[OTD])</f>
        <v>1</v>
      </c>
      <c r="U454" t="str">
        <f>IF(Table1[[#This Row],[Vendor Score]]&gt;=90%,"Excellent",IF(Table1[[#This Row],[Vendor Score]]&gt;=75%,"Moderate","Poor"))</f>
        <v>Poor</v>
      </c>
    </row>
    <row r="455" spans="1:21" x14ac:dyDescent="0.35">
      <c r="A455" t="s">
        <v>239</v>
      </c>
      <c r="B455" t="s">
        <v>78</v>
      </c>
      <c r="C455" t="s">
        <v>79</v>
      </c>
      <c r="D455" t="s">
        <v>33</v>
      </c>
      <c r="E455" t="s">
        <v>57</v>
      </c>
      <c r="F455">
        <v>1179</v>
      </c>
      <c r="G455">
        <v>1113</v>
      </c>
      <c r="H455" s="1">
        <v>46325</v>
      </c>
      <c r="I455" s="1">
        <v>46328</v>
      </c>
      <c r="J455">
        <v>56</v>
      </c>
      <c r="K455">
        <v>34</v>
      </c>
      <c r="L455">
        <f t="shared" si="35"/>
        <v>3</v>
      </c>
      <c r="M455" s="6">
        <f t="shared" si="36"/>
        <v>0</v>
      </c>
      <c r="N455" s="6">
        <f t="shared" si="37"/>
        <v>0.94402035623409675</v>
      </c>
      <c r="O455" s="6">
        <f t="shared" si="38"/>
        <v>0.94968553459119498</v>
      </c>
      <c r="P455">
        <f t="shared" si="39"/>
        <v>37842</v>
      </c>
      <c r="Q455" s="6">
        <f>MIN(Table1[Unit Price])/Table1[[#This Row],[Unit Price]]</f>
        <v>0.14705882352941177</v>
      </c>
      <c r="R455" s="8">
        <f>IF(Table1[[#This Row],[Delivery Delay]]&gt;0,1,0)</f>
        <v>1</v>
      </c>
      <c r="S455" s="6">
        <f>(Table1[[#This Row],[OTD]]*0.4)+(Table1[[#This Row],[Quality Rate]]*0.3)+(Table1[[#This Row],[Fill Rate]]*0.2)+(Table1[[#This Row],[Cost Score]]*0.1)</f>
        <v>0.48841561397711902</v>
      </c>
      <c r="T455">
        <f>MAX(Table1[OTD])</f>
        <v>1</v>
      </c>
      <c r="U455" t="str">
        <f>IF(Table1[[#This Row],[Vendor Score]]&gt;=90%,"Excellent",IF(Table1[[#This Row],[Vendor Score]]&gt;=75%,"Moderate","Poor"))</f>
        <v>Poor</v>
      </c>
    </row>
    <row r="456" spans="1:21" x14ac:dyDescent="0.35">
      <c r="A456" t="s">
        <v>231</v>
      </c>
      <c r="B456" t="s">
        <v>59</v>
      </c>
      <c r="C456" t="s">
        <v>60</v>
      </c>
      <c r="D456" t="s">
        <v>33</v>
      </c>
      <c r="E456" t="s">
        <v>24</v>
      </c>
      <c r="F456">
        <v>3962</v>
      </c>
      <c r="G456">
        <v>3905</v>
      </c>
      <c r="H456" s="1">
        <v>46163</v>
      </c>
      <c r="I456" s="1">
        <v>46168</v>
      </c>
      <c r="J456">
        <v>240</v>
      </c>
      <c r="K456">
        <v>59</v>
      </c>
      <c r="L456">
        <f t="shared" si="35"/>
        <v>5</v>
      </c>
      <c r="M456" s="6">
        <f t="shared" si="36"/>
        <v>0</v>
      </c>
      <c r="N456" s="6">
        <f t="shared" si="37"/>
        <v>0.98561332660272594</v>
      </c>
      <c r="O456" s="6">
        <f t="shared" si="38"/>
        <v>0.93854033290653005</v>
      </c>
      <c r="P456">
        <f t="shared" si="39"/>
        <v>230395</v>
      </c>
      <c r="Q456" s="6">
        <f>MIN(Table1[Unit Price])/Table1[[#This Row],[Unit Price]]</f>
        <v>8.4745762711864403E-2</v>
      </c>
      <c r="R456" s="8">
        <f>IF(Table1[[#This Row],[Delivery Delay]]&gt;0,1,0)</f>
        <v>1</v>
      </c>
      <c r="S456" s="6">
        <f>(Table1[[#This Row],[OTD]]*0.4)+(Table1[[#This Row],[Quality Rate]]*0.3)+(Table1[[#This Row],[Fill Rate]]*0.2)+(Table1[[#This Row],[Cost Score]]*0.1)</f>
        <v>0.48715934146369066</v>
      </c>
      <c r="T456">
        <f>MAX(Table1[OTD])</f>
        <v>1</v>
      </c>
      <c r="U456" t="str">
        <f>IF(Table1[[#This Row],[Vendor Score]]&gt;=90%,"Excellent",IF(Table1[[#This Row],[Vendor Score]]&gt;=75%,"Moderate","Poor"))</f>
        <v>Poor</v>
      </c>
    </row>
    <row r="457" spans="1:21" x14ac:dyDescent="0.35">
      <c r="A457" t="s">
        <v>157</v>
      </c>
      <c r="B457" t="s">
        <v>59</v>
      </c>
      <c r="C457" t="s">
        <v>60</v>
      </c>
      <c r="D457" t="s">
        <v>55</v>
      </c>
      <c r="E457" t="s">
        <v>28</v>
      </c>
      <c r="F457">
        <v>767</v>
      </c>
      <c r="G457">
        <v>763</v>
      </c>
      <c r="H457" s="1">
        <v>46290</v>
      </c>
      <c r="I457" s="1">
        <v>46292</v>
      </c>
      <c r="J457">
        <v>51</v>
      </c>
      <c r="K457">
        <v>63</v>
      </c>
      <c r="L457">
        <f t="shared" si="35"/>
        <v>2</v>
      </c>
      <c r="M457" s="6">
        <f t="shared" si="36"/>
        <v>0</v>
      </c>
      <c r="N457" s="6">
        <f t="shared" si="37"/>
        <v>0.99478487614080835</v>
      </c>
      <c r="O457" s="6">
        <f t="shared" si="38"/>
        <v>0.93315858453473133</v>
      </c>
      <c r="P457">
        <f t="shared" si="39"/>
        <v>48069</v>
      </c>
      <c r="Q457" s="6">
        <f>MIN(Table1[Unit Price])/Table1[[#This Row],[Unit Price]]</f>
        <v>7.9365079365079361E-2</v>
      </c>
      <c r="R457" s="8">
        <f>IF(Table1[[#This Row],[Delivery Delay]]&gt;0,1,0)</f>
        <v>1</v>
      </c>
      <c r="S457" s="6">
        <f>(Table1[[#This Row],[OTD]]*0.4)+(Table1[[#This Row],[Quality Rate]]*0.3)+(Table1[[#This Row],[Fill Rate]]*0.2)+(Table1[[#This Row],[Cost Score]]*0.1)</f>
        <v>0.48684105852508897</v>
      </c>
      <c r="T457">
        <f>MAX(Table1[OTD])</f>
        <v>1</v>
      </c>
      <c r="U457" t="str">
        <f>IF(Table1[[#This Row],[Vendor Score]]&gt;=90%,"Excellent",IF(Table1[[#This Row],[Vendor Score]]&gt;=75%,"Moderate","Poor"))</f>
        <v>Poor</v>
      </c>
    </row>
    <row r="458" spans="1:21" x14ac:dyDescent="0.35">
      <c r="A458" t="s">
        <v>339</v>
      </c>
      <c r="B458" t="s">
        <v>30</v>
      </c>
      <c r="C458" t="s">
        <v>31</v>
      </c>
      <c r="D458" t="s">
        <v>33</v>
      </c>
      <c r="E458" t="s">
        <v>70</v>
      </c>
      <c r="F458">
        <v>4524</v>
      </c>
      <c r="G458">
        <v>4372</v>
      </c>
      <c r="H458" s="1">
        <v>46030</v>
      </c>
      <c r="I458" s="1">
        <v>46037</v>
      </c>
      <c r="J458">
        <v>136</v>
      </c>
      <c r="K458">
        <v>238</v>
      </c>
      <c r="L458">
        <f t="shared" si="35"/>
        <v>7</v>
      </c>
      <c r="M458" s="6">
        <f t="shared" si="36"/>
        <v>0</v>
      </c>
      <c r="N458" s="6">
        <f t="shared" si="37"/>
        <v>0.96640141467727669</v>
      </c>
      <c r="O458" s="6">
        <f t="shared" si="38"/>
        <v>0.96889295516925888</v>
      </c>
      <c r="P458">
        <f t="shared" si="39"/>
        <v>1040536</v>
      </c>
      <c r="Q458" s="6">
        <f>MIN(Table1[Unit Price])/Table1[[#This Row],[Unit Price]]</f>
        <v>2.100840336134454E-2</v>
      </c>
      <c r="R458" s="8">
        <f>IF(Table1[[#This Row],[Delivery Delay]]&gt;0,1,0)</f>
        <v>1</v>
      </c>
      <c r="S458" s="6">
        <f>(Table1[[#This Row],[OTD]]*0.4)+(Table1[[#This Row],[Quality Rate]]*0.3)+(Table1[[#This Row],[Fill Rate]]*0.2)+(Table1[[#This Row],[Cost Score]]*0.1)</f>
        <v>0.48604900982236743</v>
      </c>
      <c r="T458">
        <f>MAX(Table1[OTD])</f>
        <v>1</v>
      </c>
      <c r="U458" t="str">
        <f>IF(Table1[[#This Row],[Vendor Score]]&gt;=90%,"Excellent",IF(Table1[[#This Row],[Vendor Score]]&gt;=75%,"Moderate","Poor"))</f>
        <v>Poor</v>
      </c>
    </row>
    <row r="459" spans="1:21" x14ac:dyDescent="0.35">
      <c r="A459" t="s">
        <v>269</v>
      </c>
      <c r="B459" t="s">
        <v>26</v>
      </c>
      <c r="C459" t="s">
        <v>27</v>
      </c>
      <c r="D459" t="s">
        <v>19</v>
      </c>
      <c r="E459" t="s">
        <v>52</v>
      </c>
      <c r="F459">
        <v>348</v>
      </c>
      <c r="G459">
        <v>329</v>
      </c>
      <c r="H459" s="1">
        <v>46106</v>
      </c>
      <c r="I459" s="1">
        <v>46111</v>
      </c>
      <c r="J459">
        <v>8</v>
      </c>
      <c r="K459">
        <v>129</v>
      </c>
      <c r="L459">
        <f t="shared" si="35"/>
        <v>5</v>
      </c>
      <c r="M459" s="6">
        <f t="shared" si="36"/>
        <v>0</v>
      </c>
      <c r="N459" s="6">
        <f t="shared" si="37"/>
        <v>0.9454022988505747</v>
      </c>
      <c r="O459" s="6">
        <f t="shared" si="38"/>
        <v>0.9756838905775076</v>
      </c>
      <c r="P459">
        <f t="shared" si="39"/>
        <v>42441</v>
      </c>
      <c r="Q459" s="6">
        <f>MIN(Table1[Unit Price])/Table1[[#This Row],[Unit Price]]</f>
        <v>3.875968992248062E-2</v>
      </c>
      <c r="R459" s="8">
        <f>IF(Table1[[#This Row],[Delivery Delay]]&gt;0,1,0)</f>
        <v>1</v>
      </c>
      <c r="S459" s="6">
        <f>(Table1[[#This Row],[OTD]]*0.4)+(Table1[[#This Row],[Quality Rate]]*0.3)+(Table1[[#This Row],[Fill Rate]]*0.2)+(Table1[[#This Row],[Cost Score]]*0.1)</f>
        <v>0.48566159593561531</v>
      </c>
      <c r="T459">
        <f>MAX(Table1[OTD])</f>
        <v>1</v>
      </c>
      <c r="U459" t="str">
        <f>IF(Table1[[#This Row],[Vendor Score]]&gt;=90%,"Excellent",IF(Table1[[#This Row],[Vendor Score]]&gt;=75%,"Moderate","Poor"))</f>
        <v>Poor</v>
      </c>
    </row>
    <row r="460" spans="1:21" x14ac:dyDescent="0.35">
      <c r="A460" t="s">
        <v>491</v>
      </c>
      <c r="B460" t="s">
        <v>59</v>
      </c>
      <c r="C460" t="s">
        <v>60</v>
      </c>
      <c r="D460" t="s">
        <v>55</v>
      </c>
      <c r="E460" t="s">
        <v>28</v>
      </c>
      <c r="F460">
        <v>3092</v>
      </c>
      <c r="G460">
        <v>3078</v>
      </c>
      <c r="H460" s="1">
        <v>46270</v>
      </c>
      <c r="I460" s="1">
        <v>46271</v>
      </c>
      <c r="J460">
        <v>189</v>
      </c>
      <c r="K460">
        <v>106</v>
      </c>
      <c r="L460">
        <f t="shared" si="35"/>
        <v>1</v>
      </c>
      <c r="M460" s="6">
        <f t="shared" si="36"/>
        <v>0</v>
      </c>
      <c r="N460" s="6">
        <f t="shared" si="37"/>
        <v>0.99547218628719281</v>
      </c>
      <c r="O460" s="6">
        <f t="shared" si="38"/>
        <v>0.93859649122807021</v>
      </c>
      <c r="P460">
        <f t="shared" si="39"/>
        <v>326268</v>
      </c>
      <c r="Q460" s="6">
        <f>MIN(Table1[Unit Price])/Table1[[#This Row],[Unit Price]]</f>
        <v>4.716981132075472E-2</v>
      </c>
      <c r="R460" s="8">
        <f>IF(Table1[[#This Row],[Delivery Delay]]&gt;0,1,0)</f>
        <v>1</v>
      </c>
      <c r="S460" s="6">
        <f>(Table1[[#This Row],[OTD]]*0.4)+(Table1[[#This Row],[Quality Rate]]*0.3)+(Table1[[#This Row],[Fill Rate]]*0.2)+(Table1[[#This Row],[Cost Score]]*0.1)</f>
        <v>0.48539036575793509</v>
      </c>
      <c r="T460">
        <f>MAX(Table1[OTD])</f>
        <v>1</v>
      </c>
      <c r="U460" t="str">
        <f>IF(Table1[[#This Row],[Vendor Score]]&gt;=90%,"Excellent",IF(Table1[[#This Row],[Vendor Score]]&gt;=75%,"Moderate","Poor"))</f>
        <v>Poor</v>
      </c>
    </row>
    <row r="461" spans="1:21" x14ac:dyDescent="0.35">
      <c r="A461" t="s">
        <v>245</v>
      </c>
      <c r="B461" t="s">
        <v>42</v>
      </c>
      <c r="C461" t="s">
        <v>43</v>
      </c>
      <c r="D461" t="s">
        <v>19</v>
      </c>
      <c r="E461" t="s">
        <v>34</v>
      </c>
      <c r="F461">
        <v>4078</v>
      </c>
      <c r="G461">
        <v>3790</v>
      </c>
      <c r="H461" s="1">
        <v>46196</v>
      </c>
      <c r="I461" s="1">
        <v>46199</v>
      </c>
      <c r="J461">
        <v>41</v>
      </c>
      <c r="K461">
        <v>184</v>
      </c>
      <c r="L461">
        <f t="shared" si="35"/>
        <v>3</v>
      </c>
      <c r="M461" s="6">
        <f t="shared" si="36"/>
        <v>0</v>
      </c>
      <c r="N461" s="6">
        <f t="shared" si="37"/>
        <v>0.92937714565963703</v>
      </c>
      <c r="O461" s="6">
        <f t="shared" si="38"/>
        <v>0.98918205804749337</v>
      </c>
      <c r="P461">
        <f t="shared" si="39"/>
        <v>697360</v>
      </c>
      <c r="Q461" s="6">
        <f>MIN(Table1[Unit Price])/Table1[[#This Row],[Unit Price]]</f>
        <v>2.717391304347826E-2</v>
      </c>
      <c r="R461" s="8">
        <f>IF(Table1[[#This Row],[Delivery Delay]]&gt;0,1,0)</f>
        <v>1</v>
      </c>
      <c r="S461" s="6">
        <f>(Table1[[#This Row],[OTD]]*0.4)+(Table1[[#This Row],[Quality Rate]]*0.3)+(Table1[[#This Row],[Fill Rate]]*0.2)+(Table1[[#This Row],[Cost Score]]*0.1)</f>
        <v>0.48534743785052331</v>
      </c>
      <c r="T461">
        <f>MAX(Table1[OTD])</f>
        <v>1</v>
      </c>
      <c r="U461" t="str">
        <f>IF(Table1[[#This Row],[Vendor Score]]&gt;=90%,"Excellent",IF(Table1[[#This Row],[Vendor Score]]&gt;=75%,"Moderate","Poor"))</f>
        <v>Poor</v>
      </c>
    </row>
    <row r="462" spans="1:21" x14ac:dyDescent="0.35">
      <c r="A462" t="s">
        <v>305</v>
      </c>
      <c r="B462" t="s">
        <v>78</v>
      </c>
      <c r="C462" t="s">
        <v>79</v>
      </c>
      <c r="D462" t="s">
        <v>33</v>
      </c>
      <c r="E462" t="s">
        <v>52</v>
      </c>
      <c r="F462">
        <v>1578</v>
      </c>
      <c r="G462">
        <v>1522</v>
      </c>
      <c r="H462" s="1">
        <v>46094</v>
      </c>
      <c r="I462" s="1">
        <v>46101</v>
      </c>
      <c r="J462">
        <v>80</v>
      </c>
      <c r="K462">
        <v>69</v>
      </c>
      <c r="L462">
        <f t="shared" si="35"/>
        <v>7</v>
      </c>
      <c r="M462" s="6">
        <f t="shared" si="36"/>
        <v>0</v>
      </c>
      <c r="N462" s="6">
        <f t="shared" si="37"/>
        <v>0.96451204055766793</v>
      </c>
      <c r="O462" s="6">
        <f t="shared" si="38"/>
        <v>0.94743758212877793</v>
      </c>
      <c r="P462">
        <f t="shared" si="39"/>
        <v>105018</v>
      </c>
      <c r="Q462" s="6">
        <f>MIN(Table1[Unit Price])/Table1[[#This Row],[Unit Price]]</f>
        <v>7.2463768115942032E-2</v>
      </c>
      <c r="R462" s="8">
        <f>IF(Table1[[#This Row],[Delivery Delay]]&gt;0,1,0)</f>
        <v>1</v>
      </c>
      <c r="S462" s="6">
        <f>(Table1[[#This Row],[OTD]]*0.4)+(Table1[[#This Row],[Quality Rate]]*0.3)+(Table1[[#This Row],[Fill Rate]]*0.2)+(Table1[[#This Row],[Cost Score]]*0.1)</f>
        <v>0.48438005956176111</v>
      </c>
      <c r="T462">
        <f>MAX(Table1[OTD])</f>
        <v>1</v>
      </c>
      <c r="U462" t="str">
        <f>IF(Table1[[#This Row],[Vendor Score]]&gt;=90%,"Excellent",IF(Table1[[#This Row],[Vendor Score]]&gt;=75%,"Moderate","Poor"))</f>
        <v>Poor</v>
      </c>
    </row>
    <row r="463" spans="1:21" x14ac:dyDescent="0.35">
      <c r="A463" t="s">
        <v>175</v>
      </c>
      <c r="B463" t="s">
        <v>30</v>
      </c>
      <c r="C463" t="s">
        <v>31</v>
      </c>
      <c r="D463" t="s">
        <v>14</v>
      </c>
      <c r="E463" t="s">
        <v>24</v>
      </c>
      <c r="F463">
        <v>432</v>
      </c>
      <c r="G463">
        <v>415</v>
      </c>
      <c r="H463" s="1">
        <v>46166</v>
      </c>
      <c r="I463" s="1">
        <v>46174</v>
      </c>
      <c r="J463">
        <v>17</v>
      </c>
      <c r="K463">
        <v>116</v>
      </c>
      <c r="L463">
        <f t="shared" si="35"/>
        <v>8</v>
      </c>
      <c r="M463" s="6">
        <f t="shared" si="36"/>
        <v>0</v>
      </c>
      <c r="N463" s="6">
        <f t="shared" si="37"/>
        <v>0.96064814814814814</v>
      </c>
      <c r="O463" s="6">
        <f t="shared" si="38"/>
        <v>0.95903614457831321</v>
      </c>
      <c r="P463">
        <f t="shared" si="39"/>
        <v>48140</v>
      </c>
      <c r="Q463" s="6">
        <f>MIN(Table1[Unit Price])/Table1[[#This Row],[Unit Price]]</f>
        <v>4.3103448275862072E-2</v>
      </c>
      <c r="R463" s="8">
        <f>IF(Table1[[#This Row],[Delivery Delay]]&gt;0,1,0)</f>
        <v>1</v>
      </c>
      <c r="S463" s="6">
        <f>(Table1[[#This Row],[OTD]]*0.4)+(Table1[[#This Row],[Quality Rate]]*0.3)+(Table1[[#This Row],[Fill Rate]]*0.2)+(Table1[[#This Row],[Cost Score]]*0.1)</f>
        <v>0.48415081783070979</v>
      </c>
      <c r="T463">
        <f>MAX(Table1[OTD])</f>
        <v>1</v>
      </c>
      <c r="U463" t="str">
        <f>IF(Table1[[#This Row],[Vendor Score]]&gt;=90%,"Excellent",IF(Table1[[#This Row],[Vendor Score]]&gt;=75%,"Moderate","Poor"))</f>
        <v>Poor</v>
      </c>
    </row>
    <row r="464" spans="1:21" x14ac:dyDescent="0.35">
      <c r="A464" t="s">
        <v>486</v>
      </c>
      <c r="B464" t="s">
        <v>30</v>
      </c>
      <c r="C464" t="s">
        <v>31</v>
      </c>
      <c r="D464" t="s">
        <v>55</v>
      </c>
      <c r="E464" t="s">
        <v>57</v>
      </c>
      <c r="F464">
        <v>3392</v>
      </c>
      <c r="G464">
        <v>3213</v>
      </c>
      <c r="H464" s="1">
        <v>46307</v>
      </c>
      <c r="I464" s="1">
        <v>46308</v>
      </c>
      <c r="J464">
        <v>99</v>
      </c>
      <c r="K464">
        <v>195</v>
      </c>
      <c r="L464">
        <f t="shared" si="35"/>
        <v>1</v>
      </c>
      <c r="M464" s="6">
        <f t="shared" si="36"/>
        <v>0</v>
      </c>
      <c r="N464" s="6">
        <f t="shared" si="37"/>
        <v>0.94722877358490565</v>
      </c>
      <c r="O464" s="6">
        <f t="shared" si="38"/>
        <v>0.96918767507002801</v>
      </c>
      <c r="P464">
        <f t="shared" si="39"/>
        <v>626535</v>
      </c>
      <c r="Q464" s="6">
        <f>MIN(Table1[Unit Price])/Table1[[#This Row],[Unit Price]]</f>
        <v>2.564102564102564E-2</v>
      </c>
      <c r="R464" s="8">
        <f>IF(Table1[[#This Row],[Delivery Delay]]&gt;0,1,0)</f>
        <v>1</v>
      </c>
      <c r="S464" s="6">
        <f>(Table1[[#This Row],[OTD]]*0.4)+(Table1[[#This Row],[Quality Rate]]*0.3)+(Table1[[#This Row],[Fill Rate]]*0.2)+(Table1[[#This Row],[Cost Score]]*0.1)</f>
        <v>0.48276615980209203</v>
      </c>
      <c r="T464">
        <f>MAX(Table1[OTD])</f>
        <v>1</v>
      </c>
      <c r="U464" t="str">
        <f>IF(Table1[[#This Row],[Vendor Score]]&gt;=90%,"Excellent",IF(Table1[[#This Row],[Vendor Score]]&gt;=75%,"Moderate","Poor"))</f>
        <v>Poor</v>
      </c>
    </row>
    <row r="465" spans="1:21" x14ac:dyDescent="0.35">
      <c r="A465" t="s">
        <v>455</v>
      </c>
      <c r="B465" t="s">
        <v>78</v>
      </c>
      <c r="C465" t="s">
        <v>79</v>
      </c>
      <c r="D465" t="s">
        <v>19</v>
      </c>
      <c r="E465" t="s">
        <v>57</v>
      </c>
      <c r="F465">
        <v>4211</v>
      </c>
      <c r="G465">
        <v>3899</v>
      </c>
      <c r="H465" s="1">
        <v>46304</v>
      </c>
      <c r="I465" s="1">
        <v>46313</v>
      </c>
      <c r="J465">
        <v>195</v>
      </c>
      <c r="K465">
        <v>46</v>
      </c>
      <c r="L465">
        <f t="shared" si="35"/>
        <v>9</v>
      </c>
      <c r="M465" s="6">
        <f t="shared" si="36"/>
        <v>0</v>
      </c>
      <c r="N465" s="6">
        <f t="shared" si="37"/>
        <v>0.92590833531227734</v>
      </c>
      <c r="O465" s="6">
        <f t="shared" si="38"/>
        <v>0.9499871761990254</v>
      </c>
      <c r="P465">
        <f t="shared" si="39"/>
        <v>179354</v>
      </c>
      <c r="Q465" s="6">
        <f>MIN(Table1[Unit Price])/Table1[[#This Row],[Unit Price]]</f>
        <v>0.10869565217391304</v>
      </c>
      <c r="R465" s="8">
        <f>IF(Table1[[#This Row],[Delivery Delay]]&gt;0,1,0)</f>
        <v>1</v>
      </c>
      <c r="S465" s="6">
        <f>(Table1[[#This Row],[OTD]]*0.4)+(Table1[[#This Row],[Quality Rate]]*0.3)+(Table1[[#This Row],[Fill Rate]]*0.2)+(Table1[[#This Row],[Cost Score]]*0.1)</f>
        <v>0.48104738513955436</v>
      </c>
      <c r="T465">
        <f>MAX(Table1[OTD])</f>
        <v>1</v>
      </c>
      <c r="U465" t="str">
        <f>IF(Table1[[#This Row],[Vendor Score]]&gt;=90%,"Excellent",IF(Table1[[#This Row],[Vendor Score]]&gt;=75%,"Moderate","Poor"))</f>
        <v>Poor</v>
      </c>
    </row>
    <row r="466" spans="1:21" x14ac:dyDescent="0.35">
      <c r="A466" t="s">
        <v>497</v>
      </c>
      <c r="B466" t="s">
        <v>17</v>
      </c>
      <c r="C466" t="s">
        <v>18</v>
      </c>
      <c r="D466" t="s">
        <v>55</v>
      </c>
      <c r="E466" t="s">
        <v>40</v>
      </c>
      <c r="F466">
        <v>4931</v>
      </c>
      <c r="G466">
        <v>4660</v>
      </c>
      <c r="H466" s="1">
        <v>46247</v>
      </c>
      <c r="I466" s="1">
        <v>46250</v>
      </c>
      <c r="J466">
        <v>191</v>
      </c>
      <c r="K466">
        <v>125</v>
      </c>
      <c r="L466">
        <f t="shared" si="35"/>
        <v>3</v>
      </c>
      <c r="M466" s="6">
        <f t="shared" si="36"/>
        <v>0</v>
      </c>
      <c r="N466" s="6">
        <f t="shared" si="37"/>
        <v>0.94504157371729869</v>
      </c>
      <c r="O466" s="6">
        <f t="shared" si="38"/>
        <v>0.95901287553648074</v>
      </c>
      <c r="P466">
        <f t="shared" si="39"/>
        <v>582500</v>
      </c>
      <c r="Q466" s="6">
        <f>MIN(Table1[Unit Price])/Table1[[#This Row],[Unit Price]]</f>
        <v>0.04</v>
      </c>
      <c r="R466" s="8">
        <f>IF(Table1[[#This Row],[Delivery Delay]]&gt;0,1,0)</f>
        <v>1</v>
      </c>
      <c r="S466" s="6">
        <f>(Table1[[#This Row],[OTD]]*0.4)+(Table1[[#This Row],[Quality Rate]]*0.3)+(Table1[[#This Row],[Fill Rate]]*0.2)+(Table1[[#This Row],[Cost Score]]*0.1)</f>
        <v>0.48071217740440397</v>
      </c>
      <c r="T466">
        <f>MAX(Table1[OTD])</f>
        <v>1</v>
      </c>
      <c r="U466" t="str">
        <f>IF(Table1[[#This Row],[Vendor Score]]&gt;=90%,"Excellent",IF(Table1[[#This Row],[Vendor Score]]&gt;=75%,"Moderate","Poor"))</f>
        <v>Poor</v>
      </c>
    </row>
    <row r="467" spans="1:21" x14ac:dyDescent="0.35">
      <c r="A467" t="s">
        <v>275</v>
      </c>
      <c r="B467" t="s">
        <v>17</v>
      </c>
      <c r="C467" t="s">
        <v>18</v>
      </c>
      <c r="D467" t="s">
        <v>14</v>
      </c>
      <c r="E467" t="s">
        <v>70</v>
      </c>
      <c r="F467">
        <v>3257</v>
      </c>
      <c r="G467">
        <v>3095</v>
      </c>
      <c r="H467" s="1">
        <v>46025</v>
      </c>
      <c r="I467" s="1">
        <v>46033</v>
      </c>
      <c r="J467">
        <v>126</v>
      </c>
      <c r="K467">
        <v>180</v>
      </c>
      <c r="L467">
        <f t="shared" si="35"/>
        <v>8</v>
      </c>
      <c r="M467" s="6">
        <f t="shared" si="36"/>
        <v>0</v>
      </c>
      <c r="N467" s="6">
        <f t="shared" si="37"/>
        <v>0.95026097635861217</v>
      </c>
      <c r="O467" s="6">
        <f t="shared" si="38"/>
        <v>0.95928917609046849</v>
      </c>
      <c r="P467">
        <f t="shared" si="39"/>
        <v>557100</v>
      </c>
      <c r="Q467" s="6">
        <f>MIN(Table1[Unit Price])/Table1[[#This Row],[Unit Price]]</f>
        <v>2.7777777777777776E-2</v>
      </c>
      <c r="R467" s="8">
        <f>IF(Table1[[#This Row],[Delivery Delay]]&gt;0,1,0)</f>
        <v>1</v>
      </c>
      <c r="S467" s="6">
        <f>(Table1[[#This Row],[OTD]]*0.4)+(Table1[[#This Row],[Quality Rate]]*0.3)+(Table1[[#This Row],[Fill Rate]]*0.2)+(Table1[[#This Row],[Cost Score]]*0.1)</f>
        <v>0.48061672587664078</v>
      </c>
      <c r="T467">
        <f>MAX(Table1[OTD])</f>
        <v>1</v>
      </c>
      <c r="U467" t="str">
        <f>IF(Table1[[#This Row],[Vendor Score]]&gt;=90%,"Excellent",IF(Table1[[#This Row],[Vendor Score]]&gt;=75%,"Moderate","Poor"))</f>
        <v>Poor</v>
      </c>
    </row>
    <row r="468" spans="1:21" x14ac:dyDescent="0.35">
      <c r="A468" t="s">
        <v>331</v>
      </c>
      <c r="B468" t="s">
        <v>22</v>
      </c>
      <c r="C468" t="s">
        <v>23</v>
      </c>
      <c r="D468" t="s">
        <v>19</v>
      </c>
      <c r="E468" t="s">
        <v>34</v>
      </c>
      <c r="F468">
        <v>2544</v>
      </c>
      <c r="G468">
        <v>2503</v>
      </c>
      <c r="H468" s="1">
        <v>46176</v>
      </c>
      <c r="I468" s="1">
        <v>46180</v>
      </c>
      <c r="J468">
        <v>181</v>
      </c>
      <c r="K468">
        <v>94</v>
      </c>
      <c r="L468">
        <f t="shared" si="35"/>
        <v>4</v>
      </c>
      <c r="M468" s="6">
        <f t="shared" si="36"/>
        <v>0</v>
      </c>
      <c r="N468" s="6">
        <f t="shared" si="37"/>
        <v>0.98388364779874216</v>
      </c>
      <c r="O468" s="6">
        <f t="shared" si="38"/>
        <v>0.9276867758689572</v>
      </c>
      <c r="P468">
        <f t="shared" si="39"/>
        <v>235282</v>
      </c>
      <c r="Q468" s="6">
        <f>MIN(Table1[Unit Price])/Table1[[#This Row],[Unit Price]]</f>
        <v>5.3191489361702128E-2</v>
      </c>
      <c r="R468" s="8">
        <f>IF(Table1[[#This Row],[Delivery Delay]]&gt;0,1,0)</f>
        <v>1</v>
      </c>
      <c r="S468" s="6">
        <f>(Table1[[#This Row],[OTD]]*0.4)+(Table1[[#This Row],[Quality Rate]]*0.3)+(Table1[[#This Row],[Fill Rate]]*0.2)+(Table1[[#This Row],[Cost Score]]*0.1)</f>
        <v>0.48040191125660581</v>
      </c>
      <c r="T468">
        <f>MAX(Table1[OTD])</f>
        <v>1</v>
      </c>
      <c r="U468" t="str">
        <f>IF(Table1[[#This Row],[Vendor Score]]&gt;=90%,"Excellent",IF(Table1[[#This Row],[Vendor Score]]&gt;=75%,"Moderate","Poor"))</f>
        <v>Poor</v>
      </c>
    </row>
    <row r="469" spans="1:21" x14ac:dyDescent="0.35">
      <c r="A469" t="s">
        <v>212</v>
      </c>
      <c r="B469" t="s">
        <v>22</v>
      </c>
      <c r="C469" t="s">
        <v>23</v>
      </c>
      <c r="D469" t="s">
        <v>33</v>
      </c>
      <c r="E469" t="s">
        <v>34</v>
      </c>
      <c r="F469">
        <v>4599</v>
      </c>
      <c r="G469">
        <v>4540</v>
      </c>
      <c r="H469" s="1">
        <v>46177</v>
      </c>
      <c r="I469" s="1">
        <v>46186</v>
      </c>
      <c r="J469">
        <v>319</v>
      </c>
      <c r="K469">
        <v>167</v>
      </c>
      <c r="L469">
        <f t="shared" si="35"/>
        <v>9</v>
      </c>
      <c r="M469" s="6">
        <f t="shared" si="36"/>
        <v>0</v>
      </c>
      <c r="N469" s="6">
        <f t="shared" si="37"/>
        <v>0.98717112415742547</v>
      </c>
      <c r="O469" s="6">
        <f t="shared" si="38"/>
        <v>0.92973568281938324</v>
      </c>
      <c r="P469">
        <f t="shared" si="39"/>
        <v>758180</v>
      </c>
      <c r="Q469" s="6">
        <f>MIN(Table1[Unit Price])/Table1[[#This Row],[Unit Price]]</f>
        <v>2.9940119760479042E-2</v>
      </c>
      <c r="R469" s="8">
        <f>IF(Table1[[#This Row],[Delivery Delay]]&gt;0,1,0)</f>
        <v>1</v>
      </c>
      <c r="S469" s="6">
        <f>(Table1[[#This Row],[OTD]]*0.4)+(Table1[[#This Row],[Quality Rate]]*0.3)+(Table1[[#This Row],[Fill Rate]]*0.2)+(Table1[[#This Row],[Cost Score]]*0.1)</f>
        <v>0.47934894165334796</v>
      </c>
      <c r="T469">
        <f>MAX(Table1[OTD])</f>
        <v>1</v>
      </c>
      <c r="U469" t="str">
        <f>IF(Table1[[#This Row],[Vendor Score]]&gt;=90%,"Excellent",IF(Table1[[#This Row],[Vendor Score]]&gt;=75%,"Moderate","Poor"))</f>
        <v>Poor</v>
      </c>
    </row>
    <row r="470" spans="1:21" x14ac:dyDescent="0.35">
      <c r="A470" t="s">
        <v>125</v>
      </c>
      <c r="B470" t="s">
        <v>22</v>
      </c>
      <c r="C470" t="s">
        <v>23</v>
      </c>
      <c r="D470" t="s">
        <v>55</v>
      </c>
      <c r="E470" t="s">
        <v>24</v>
      </c>
      <c r="F470">
        <v>3154</v>
      </c>
      <c r="G470">
        <v>3107</v>
      </c>
      <c r="H470" s="1">
        <v>46144</v>
      </c>
      <c r="I470" s="1">
        <v>46146</v>
      </c>
      <c r="J470">
        <v>222</v>
      </c>
      <c r="K470">
        <v>147</v>
      </c>
      <c r="L470">
        <f t="shared" si="35"/>
        <v>2</v>
      </c>
      <c r="M470" s="6">
        <f t="shared" si="36"/>
        <v>0</v>
      </c>
      <c r="N470" s="6">
        <f t="shared" si="37"/>
        <v>0.98509828788839571</v>
      </c>
      <c r="O470" s="6">
        <f t="shared" si="38"/>
        <v>0.92854843900869011</v>
      </c>
      <c r="P470">
        <f t="shared" si="39"/>
        <v>456729</v>
      </c>
      <c r="Q470" s="6">
        <f>MIN(Table1[Unit Price])/Table1[[#This Row],[Unit Price]]</f>
        <v>3.4013605442176874E-2</v>
      </c>
      <c r="R470" s="8">
        <f>IF(Table1[[#This Row],[Delivery Delay]]&gt;0,1,0)</f>
        <v>1</v>
      </c>
      <c r="S470" s="6">
        <f>(Table1[[#This Row],[OTD]]*0.4)+(Table1[[#This Row],[Quality Rate]]*0.3)+(Table1[[#This Row],[Fill Rate]]*0.2)+(Table1[[#This Row],[Cost Score]]*0.1)</f>
        <v>0.47898554982450386</v>
      </c>
      <c r="T470">
        <f>MAX(Table1[OTD])</f>
        <v>1</v>
      </c>
      <c r="U470" t="str">
        <f>IF(Table1[[#This Row],[Vendor Score]]&gt;=90%,"Excellent",IF(Table1[[#This Row],[Vendor Score]]&gt;=75%,"Moderate","Poor"))</f>
        <v>Poor</v>
      </c>
    </row>
    <row r="471" spans="1:21" x14ac:dyDescent="0.35">
      <c r="A471" t="s">
        <v>445</v>
      </c>
      <c r="B471" t="s">
        <v>22</v>
      </c>
      <c r="C471" t="s">
        <v>23</v>
      </c>
      <c r="D471" t="s">
        <v>19</v>
      </c>
      <c r="E471" t="s">
        <v>63</v>
      </c>
      <c r="F471">
        <v>2513</v>
      </c>
      <c r="G471">
        <v>2472</v>
      </c>
      <c r="H471" s="1">
        <v>46077</v>
      </c>
      <c r="I471" s="1">
        <v>46079</v>
      </c>
      <c r="J471">
        <v>175</v>
      </c>
      <c r="K471">
        <v>147</v>
      </c>
      <c r="L471">
        <f t="shared" si="35"/>
        <v>2</v>
      </c>
      <c r="M471" s="6">
        <f t="shared" si="36"/>
        <v>0</v>
      </c>
      <c r="N471" s="6">
        <f t="shared" si="37"/>
        <v>0.98368483883804214</v>
      </c>
      <c r="O471" s="6">
        <f t="shared" si="38"/>
        <v>0.92920711974110037</v>
      </c>
      <c r="P471">
        <f t="shared" si="39"/>
        <v>363384</v>
      </c>
      <c r="Q471" s="6">
        <f>MIN(Table1[Unit Price])/Table1[[#This Row],[Unit Price]]</f>
        <v>3.4013605442176874E-2</v>
      </c>
      <c r="R471" s="8">
        <f>IF(Table1[[#This Row],[Delivery Delay]]&gt;0,1,0)</f>
        <v>1</v>
      </c>
      <c r="S471" s="6">
        <f>(Table1[[#This Row],[OTD]]*0.4)+(Table1[[#This Row],[Quality Rate]]*0.3)+(Table1[[#This Row],[Fill Rate]]*0.2)+(Table1[[#This Row],[Cost Score]]*0.1)</f>
        <v>0.47890046423415622</v>
      </c>
      <c r="T471">
        <f>MAX(Table1[OTD])</f>
        <v>1</v>
      </c>
      <c r="U471" t="str">
        <f>IF(Table1[[#This Row],[Vendor Score]]&gt;=90%,"Excellent",IF(Table1[[#This Row],[Vendor Score]]&gt;=75%,"Moderate","Poor"))</f>
        <v>Poor</v>
      </c>
    </row>
    <row r="472" spans="1:21" x14ac:dyDescent="0.35">
      <c r="A472" t="s">
        <v>227</v>
      </c>
      <c r="B472" t="s">
        <v>22</v>
      </c>
      <c r="C472" t="s">
        <v>23</v>
      </c>
      <c r="D472" t="s">
        <v>19</v>
      </c>
      <c r="E472" t="s">
        <v>70</v>
      </c>
      <c r="F472">
        <v>1546</v>
      </c>
      <c r="G472">
        <v>1511</v>
      </c>
      <c r="H472" s="1">
        <v>46031</v>
      </c>
      <c r="I472" s="1">
        <v>46035</v>
      </c>
      <c r="J472">
        <v>106</v>
      </c>
      <c r="K472">
        <v>121</v>
      </c>
      <c r="L472">
        <f t="shared" si="35"/>
        <v>4</v>
      </c>
      <c r="M472" s="6">
        <f t="shared" si="36"/>
        <v>0</v>
      </c>
      <c r="N472" s="6">
        <f t="shared" si="37"/>
        <v>0.97736093143596381</v>
      </c>
      <c r="O472" s="6">
        <f t="shared" si="38"/>
        <v>0.92984778292521508</v>
      </c>
      <c r="P472">
        <f t="shared" si="39"/>
        <v>182831</v>
      </c>
      <c r="Q472" s="6">
        <f>MIN(Table1[Unit Price])/Table1[[#This Row],[Unit Price]]</f>
        <v>4.1322314049586778E-2</v>
      </c>
      <c r="R472" s="8">
        <f>IF(Table1[[#This Row],[Delivery Delay]]&gt;0,1,0)</f>
        <v>1</v>
      </c>
      <c r="S472" s="6">
        <f>(Table1[[#This Row],[OTD]]*0.4)+(Table1[[#This Row],[Quality Rate]]*0.3)+(Table1[[#This Row],[Fill Rate]]*0.2)+(Table1[[#This Row],[Cost Score]]*0.1)</f>
        <v>0.47855875256971592</v>
      </c>
      <c r="T472">
        <f>MAX(Table1[OTD])</f>
        <v>1</v>
      </c>
      <c r="U472" t="str">
        <f>IF(Table1[[#This Row],[Vendor Score]]&gt;=90%,"Excellent",IF(Table1[[#This Row],[Vendor Score]]&gt;=75%,"Moderate","Poor"))</f>
        <v>Poor</v>
      </c>
    </row>
    <row r="473" spans="1:21" x14ac:dyDescent="0.35">
      <c r="A473" t="s">
        <v>536</v>
      </c>
      <c r="B473" t="s">
        <v>78</v>
      </c>
      <c r="C473" t="s">
        <v>79</v>
      </c>
      <c r="D473" t="s">
        <v>14</v>
      </c>
      <c r="E473" t="s">
        <v>47</v>
      </c>
      <c r="F473">
        <v>1896</v>
      </c>
      <c r="G473">
        <v>1765</v>
      </c>
      <c r="H473" s="1">
        <v>46346</v>
      </c>
      <c r="I473" s="1">
        <v>46354</v>
      </c>
      <c r="J473">
        <v>93</v>
      </c>
      <c r="K473">
        <v>73</v>
      </c>
      <c r="L473">
        <f t="shared" si="35"/>
        <v>8</v>
      </c>
      <c r="M473" s="6">
        <f t="shared" si="36"/>
        <v>0</v>
      </c>
      <c r="N473" s="6">
        <f t="shared" si="37"/>
        <v>0.93090717299578063</v>
      </c>
      <c r="O473" s="6">
        <f t="shared" si="38"/>
        <v>0.94730878186968837</v>
      </c>
      <c r="P473">
        <f t="shared" si="39"/>
        <v>128845</v>
      </c>
      <c r="Q473" s="6">
        <f>MIN(Table1[Unit Price])/Table1[[#This Row],[Unit Price]]</f>
        <v>6.8493150684931503E-2</v>
      </c>
      <c r="R473" s="8">
        <f>IF(Table1[[#This Row],[Delivery Delay]]&gt;0,1,0)</f>
        <v>1</v>
      </c>
      <c r="S473" s="6">
        <f>(Table1[[#This Row],[OTD]]*0.4)+(Table1[[#This Row],[Quality Rate]]*0.3)+(Table1[[#This Row],[Fill Rate]]*0.2)+(Table1[[#This Row],[Cost Score]]*0.1)</f>
        <v>0.47722338422855581</v>
      </c>
      <c r="T473">
        <f>MAX(Table1[OTD])</f>
        <v>1</v>
      </c>
      <c r="U473" t="str">
        <f>IF(Table1[[#This Row],[Vendor Score]]&gt;=90%,"Excellent",IF(Table1[[#This Row],[Vendor Score]]&gt;=75%,"Moderate","Poor"))</f>
        <v>Poor</v>
      </c>
    </row>
    <row r="474" spans="1:21" x14ac:dyDescent="0.35">
      <c r="A474" t="s">
        <v>276</v>
      </c>
      <c r="B474" t="s">
        <v>59</v>
      </c>
      <c r="C474" t="s">
        <v>60</v>
      </c>
      <c r="D474" t="s">
        <v>55</v>
      </c>
      <c r="E474" t="s">
        <v>96</v>
      </c>
      <c r="F474">
        <v>3665</v>
      </c>
      <c r="G474">
        <v>3512</v>
      </c>
      <c r="H474" s="1">
        <v>46136</v>
      </c>
      <c r="I474" s="1">
        <v>46143</v>
      </c>
      <c r="J474">
        <v>213</v>
      </c>
      <c r="K474">
        <v>134</v>
      </c>
      <c r="L474">
        <f t="shared" si="35"/>
        <v>7</v>
      </c>
      <c r="M474" s="6">
        <f t="shared" si="36"/>
        <v>0</v>
      </c>
      <c r="N474" s="6">
        <f t="shared" si="37"/>
        <v>0.95825375170532057</v>
      </c>
      <c r="O474" s="6">
        <f t="shared" si="38"/>
        <v>0.93935079726651483</v>
      </c>
      <c r="P474">
        <f t="shared" si="39"/>
        <v>470608</v>
      </c>
      <c r="Q474" s="6">
        <f>MIN(Table1[Unit Price])/Table1[[#This Row],[Unit Price]]</f>
        <v>3.7313432835820892E-2</v>
      </c>
      <c r="R474" s="8">
        <f>IF(Table1[[#This Row],[Delivery Delay]]&gt;0,1,0)</f>
        <v>1</v>
      </c>
      <c r="S474" s="6">
        <f>(Table1[[#This Row],[OTD]]*0.4)+(Table1[[#This Row],[Quality Rate]]*0.3)+(Table1[[#This Row],[Fill Rate]]*0.2)+(Table1[[#This Row],[Cost Score]]*0.1)</f>
        <v>0.47718733280460063</v>
      </c>
      <c r="T474">
        <f>MAX(Table1[OTD])</f>
        <v>1</v>
      </c>
      <c r="U474" t="str">
        <f>IF(Table1[[#This Row],[Vendor Score]]&gt;=90%,"Excellent",IF(Table1[[#This Row],[Vendor Score]]&gt;=75%,"Moderate","Poor"))</f>
        <v>Poor</v>
      </c>
    </row>
    <row r="475" spans="1:21" x14ac:dyDescent="0.35">
      <c r="A475" t="s">
        <v>233</v>
      </c>
      <c r="B475" t="s">
        <v>45</v>
      </c>
      <c r="C475" t="s">
        <v>46</v>
      </c>
      <c r="D475" t="s">
        <v>55</v>
      </c>
      <c r="E475" t="s">
        <v>57</v>
      </c>
      <c r="F475">
        <v>326</v>
      </c>
      <c r="G475">
        <v>318</v>
      </c>
      <c r="H475" s="1">
        <v>46297</v>
      </c>
      <c r="I475" s="1">
        <v>46306</v>
      </c>
      <c r="J475">
        <v>31</v>
      </c>
      <c r="K475">
        <v>46</v>
      </c>
      <c r="L475">
        <f t="shared" si="35"/>
        <v>9</v>
      </c>
      <c r="M475" s="6">
        <f t="shared" si="36"/>
        <v>0</v>
      </c>
      <c r="N475" s="6">
        <f t="shared" si="37"/>
        <v>0.97546012269938653</v>
      </c>
      <c r="O475" s="6">
        <f t="shared" si="38"/>
        <v>0.90251572327044027</v>
      </c>
      <c r="P475">
        <f t="shared" si="39"/>
        <v>14628</v>
      </c>
      <c r="Q475" s="6">
        <f>MIN(Table1[Unit Price])/Table1[[#This Row],[Unit Price]]</f>
        <v>0.10869565217391304</v>
      </c>
      <c r="R475" s="8">
        <f>IF(Table1[[#This Row],[Delivery Delay]]&gt;0,1,0)</f>
        <v>1</v>
      </c>
      <c r="S475" s="6">
        <f>(Table1[[#This Row],[OTD]]*0.4)+(Table1[[#This Row],[Quality Rate]]*0.3)+(Table1[[#This Row],[Fill Rate]]*0.2)+(Table1[[#This Row],[Cost Score]]*0.1)</f>
        <v>0.47671630673840065</v>
      </c>
      <c r="T475">
        <f>MAX(Table1[OTD])</f>
        <v>1</v>
      </c>
      <c r="U475" t="str">
        <f>IF(Table1[[#This Row],[Vendor Score]]&gt;=90%,"Excellent",IF(Table1[[#This Row],[Vendor Score]]&gt;=75%,"Moderate","Poor"))</f>
        <v>Poor</v>
      </c>
    </row>
    <row r="476" spans="1:21" x14ac:dyDescent="0.35">
      <c r="A476" t="s">
        <v>145</v>
      </c>
      <c r="B476" t="s">
        <v>22</v>
      </c>
      <c r="C476" t="s">
        <v>23</v>
      </c>
      <c r="D476" t="s">
        <v>33</v>
      </c>
      <c r="E476" t="s">
        <v>15</v>
      </c>
      <c r="F476">
        <v>1453</v>
      </c>
      <c r="G476">
        <v>1406</v>
      </c>
      <c r="H476" s="1">
        <v>46357</v>
      </c>
      <c r="I476" s="1">
        <v>46363</v>
      </c>
      <c r="J476">
        <v>102</v>
      </c>
      <c r="K476">
        <v>127</v>
      </c>
      <c r="L476">
        <f t="shared" si="35"/>
        <v>6</v>
      </c>
      <c r="M476" s="6">
        <f t="shared" si="36"/>
        <v>0</v>
      </c>
      <c r="N476" s="6">
        <f t="shared" si="37"/>
        <v>0.96765313145216791</v>
      </c>
      <c r="O476" s="6">
        <f t="shared" si="38"/>
        <v>0.92745376955903269</v>
      </c>
      <c r="P476">
        <f t="shared" si="39"/>
        <v>178562</v>
      </c>
      <c r="Q476" s="6">
        <f>MIN(Table1[Unit Price])/Table1[[#This Row],[Unit Price]]</f>
        <v>3.937007874015748E-2</v>
      </c>
      <c r="R476" s="8">
        <f>IF(Table1[[#This Row],[Delivery Delay]]&gt;0,1,0)</f>
        <v>1</v>
      </c>
      <c r="S476" s="6">
        <f>(Table1[[#This Row],[OTD]]*0.4)+(Table1[[#This Row],[Quality Rate]]*0.3)+(Table1[[#This Row],[Fill Rate]]*0.2)+(Table1[[#This Row],[Cost Score]]*0.1)</f>
        <v>0.47570376503215916</v>
      </c>
      <c r="T476">
        <f>MAX(Table1[OTD])</f>
        <v>1</v>
      </c>
      <c r="U476" t="str">
        <f>IF(Table1[[#This Row],[Vendor Score]]&gt;=90%,"Excellent",IF(Table1[[#This Row],[Vendor Score]]&gt;=75%,"Moderate","Poor"))</f>
        <v>Poor</v>
      </c>
    </row>
    <row r="477" spans="1:21" x14ac:dyDescent="0.35">
      <c r="A477" t="s">
        <v>138</v>
      </c>
      <c r="B477" t="s">
        <v>17</v>
      </c>
      <c r="C477" t="s">
        <v>18</v>
      </c>
      <c r="D477" t="s">
        <v>55</v>
      </c>
      <c r="E477" t="s">
        <v>70</v>
      </c>
      <c r="F477">
        <v>1231</v>
      </c>
      <c r="G477">
        <v>1134</v>
      </c>
      <c r="H477" s="1">
        <v>46039</v>
      </c>
      <c r="I477" s="1">
        <v>46043</v>
      </c>
      <c r="J477">
        <v>48</v>
      </c>
      <c r="K477">
        <v>203</v>
      </c>
      <c r="L477">
        <f t="shared" si="35"/>
        <v>4</v>
      </c>
      <c r="M477" s="6">
        <f t="shared" si="36"/>
        <v>0</v>
      </c>
      <c r="N477" s="6">
        <f t="shared" si="37"/>
        <v>0.92120227457351744</v>
      </c>
      <c r="O477" s="6">
        <f t="shared" si="38"/>
        <v>0.95767195767195767</v>
      </c>
      <c r="P477">
        <f t="shared" si="39"/>
        <v>230202</v>
      </c>
      <c r="Q477" s="6">
        <f>MIN(Table1[Unit Price])/Table1[[#This Row],[Unit Price]]</f>
        <v>2.4630541871921183E-2</v>
      </c>
      <c r="R477" s="8">
        <f>IF(Table1[[#This Row],[Delivery Delay]]&gt;0,1,0)</f>
        <v>1</v>
      </c>
      <c r="S477" s="6">
        <f>(Table1[[#This Row],[OTD]]*0.4)+(Table1[[#This Row],[Quality Rate]]*0.3)+(Table1[[#This Row],[Fill Rate]]*0.2)+(Table1[[#This Row],[Cost Score]]*0.1)</f>
        <v>0.47400509640348293</v>
      </c>
      <c r="T477">
        <f>MAX(Table1[OTD])</f>
        <v>1</v>
      </c>
      <c r="U477" t="str">
        <f>IF(Table1[[#This Row],[Vendor Score]]&gt;=90%,"Excellent",IF(Table1[[#This Row],[Vendor Score]]&gt;=75%,"Moderate","Poor"))</f>
        <v>Poor</v>
      </c>
    </row>
    <row r="478" spans="1:21" x14ac:dyDescent="0.35">
      <c r="A478" t="s">
        <v>251</v>
      </c>
      <c r="B478" t="s">
        <v>45</v>
      </c>
      <c r="C478" t="s">
        <v>46</v>
      </c>
      <c r="D478" t="s">
        <v>55</v>
      </c>
      <c r="E478" t="s">
        <v>40</v>
      </c>
      <c r="F478">
        <v>2341</v>
      </c>
      <c r="G478">
        <v>2193</v>
      </c>
      <c r="H478" s="1">
        <v>46262</v>
      </c>
      <c r="I478" s="1">
        <v>46268</v>
      </c>
      <c r="J478">
        <v>201</v>
      </c>
      <c r="K478">
        <v>39</v>
      </c>
      <c r="L478">
        <f t="shared" si="35"/>
        <v>6</v>
      </c>
      <c r="M478" s="6">
        <f t="shared" si="36"/>
        <v>0</v>
      </c>
      <c r="N478" s="6">
        <f t="shared" si="37"/>
        <v>0.9367791542076036</v>
      </c>
      <c r="O478" s="6">
        <f t="shared" si="38"/>
        <v>0.90834473324213405</v>
      </c>
      <c r="P478">
        <f t="shared" si="39"/>
        <v>85527</v>
      </c>
      <c r="Q478" s="6">
        <f>MIN(Table1[Unit Price])/Table1[[#This Row],[Unit Price]]</f>
        <v>0.12820512820512819</v>
      </c>
      <c r="R478" s="8">
        <f>IF(Table1[[#This Row],[Delivery Delay]]&gt;0,1,0)</f>
        <v>1</v>
      </c>
      <c r="S478" s="6">
        <f>(Table1[[#This Row],[OTD]]*0.4)+(Table1[[#This Row],[Quality Rate]]*0.3)+(Table1[[#This Row],[Fill Rate]]*0.2)+(Table1[[#This Row],[Cost Score]]*0.1)</f>
        <v>0.47267976363467379</v>
      </c>
      <c r="T478">
        <f>MAX(Table1[OTD])</f>
        <v>1</v>
      </c>
      <c r="U478" t="str">
        <f>IF(Table1[[#This Row],[Vendor Score]]&gt;=90%,"Excellent",IF(Table1[[#This Row],[Vendor Score]]&gt;=75%,"Moderate","Poor"))</f>
        <v>Poor</v>
      </c>
    </row>
    <row r="479" spans="1:21" x14ac:dyDescent="0.35">
      <c r="A479" t="s">
        <v>432</v>
      </c>
      <c r="B479" t="s">
        <v>22</v>
      </c>
      <c r="C479" t="s">
        <v>23</v>
      </c>
      <c r="D479" t="s">
        <v>19</v>
      </c>
      <c r="E479" t="s">
        <v>15</v>
      </c>
      <c r="F479">
        <v>2828</v>
      </c>
      <c r="G479">
        <v>2703</v>
      </c>
      <c r="H479" s="1">
        <v>46364</v>
      </c>
      <c r="I479" s="1">
        <v>46367</v>
      </c>
      <c r="J479">
        <v>195</v>
      </c>
      <c r="K479">
        <v>242</v>
      </c>
      <c r="L479">
        <f t="shared" si="35"/>
        <v>3</v>
      </c>
      <c r="M479" s="6">
        <f t="shared" si="36"/>
        <v>0</v>
      </c>
      <c r="N479" s="6">
        <f t="shared" si="37"/>
        <v>0.95579915134370574</v>
      </c>
      <c r="O479" s="6">
        <f t="shared" si="38"/>
        <v>0.92785793562708108</v>
      </c>
      <c r="P479">
        <f t="shared" si="39"/>
        <v>654126</v>
      </c>
      <c r="Q479" s="6">
        <f>MIN(Table1[Unit Price])/Table1[[#This Row],[Unit Price]]</f>
        <v>2.0661157024793389E-2</v>
      </c>
      <c r="R479" s="8">
        <f>IF(Table1[[#This Row],[Delivery Delay]]&gt;0,1,0)</f>
        <v>1</v>
      </c>
      <c r="S479" s="6">
        <f>(Table1[[#This Row],[OTD]]*0.4)+(Table1[[#This Row],[Quality Rate]]*0.3)+(Table1[[#This Row],[Fill Rate]]*0.2)+(Table1[[#This Row],[Cost Score]]*0.1)</f>
        <v>0.47158332665934483</v>
      </c>
      <c r="T479">
        <f>MAX(Table1[OTD])</f>
        <v>1</v>
      </c>
      <c r="U479" t="str">
        <f>IF(Table1[[#This Row],[Vendor Score]]&gt;=90%,"Excellent",IF(Table1[[#This Row],[Vendor Score]]&gt;=75%,"Moderate","Poor"))</f>
        <v>Poor</v>
      </c>
    </row>
    <row r="480" spans="1:21" x14ac:dyDescent="0.35">
      <c r="A480" t="s">
        <v>524</v>
      </c>
      <c r="B480" t="s">
        <v>45</v>
      </c>
      <c r="C480" t="s">
        <v>46</v>
      </c>
      <c r="D480" t="s">
        <v>33</v>
      </c>
      <c r="E480" t="s">
        <v>70</v>
      </c>
      <c r="F480">
        <v>1115</v>
      </c>
      <c r="G480">
        <v>1092</v>
      </c>
      <c r="H480" s="1">
        <v>46032</v>
      </c>
      <c r="I480" s="1">
        <v>46036</v>
      </c>
      <c r="J480">
        <v>102</v>
      </c>
      <c r="K480">
        <v>160</v>
      </c>
      <c r="L480">
        <f t="shared" si="35"/>
        <v>4</v>
      </c>
      <c r="M480" s="6">
        <f t="shared" si="36"/>
        <v>0</v>
      </c>
      <c r="N480" s="6">
        <f t="shared" si="37"/>
        <v>0.97937219730941705</v>
      </c>
      <c r="O480" s="6">
        <f t="shared" si="38"/>
        <v>0.90659340659340659</v>
      </c>
      <c r="P480">
        <f t="shared" si="39"/>
        <v>174720</v>
      </c>
      <c r="Q480" s="6">
        <f>MIN(Table1[Unit Price])/Table1[[#This Row],[Unit Price]]</f>
        <v>3.125E-2</v>
      </c>
      <c r="R480" s="8">
        <f>IF(Table1[[#This Row],[Delivery Delay]]&gt;0,1,0)</f>
        <v>1</v>
      </c>
      <c r="S480" s="6">
        <f>(Table1[[#This Row],[OTD]]*0.4)+(Table1[[#This Row],[Quality Rate]]*0.3)+(Table1[[#This Row],[Fill Rate]]*0.2)+(Table1[[#This Row],[Cost Score]]*0.1)</f>
        <v>0.47097746143990538</v>
      </c>
      <c r="T480">
        <f>MAX(Table1[OTD])</f>
        <v>1</v>
      </c>
      <c r="U480" t="str">
        <f>IF(Table1[[#This Row],[Vendor Score]]&gt;=90%,"Excellent",IF(Table1[[#This Row],[Vendor Score]]&gt;=75%,"Moderate","Poor"))</f>
        <v>Poor</v>
      </c>
    </row>
    <row r="481" spans="1:21" x14ac:dyDescent="0.35">
      <c r="A481" t="s">
        <v>408</v>
      </c>
      <c r="B481" t="s">
        <v>12</v>
      </c>
      <c r="C481" t="s">
        <v>13</v>
      </c>
      <c r="D481" t="s">
        <v>33</v>
      </c>
      <c r="E481" t="s">
        <v>52</v>
      </c>
      <c r="F481">
        <v>1527</v>
      </c>
      <c r="G481">
        <v>1525</v>
      </c>
      <c r="H481" s="1">
        <v>46107</v>
      </c>
      <c r="I481" s="1">
        <v>46108</v>
      </c>
      <c r="J481">
        <v>186</v>
      </c>
      <c r="K481">
        <v>77</v>
      </c>
      <c r="L481">
        <f t="shared" si="35"/>
        <v>1</v>
      </c>
      <c r="M481" s="6">
        <f t="shared" si="36"/>
        <v>0</v>
      </c>
      <c r="N481" s="6">
        <f t="shared" si="37"/>
        <v>0.99869024230517356</v>
      </c>
      <c r="O481" s="6">
        <f t="shared" si="38"/>
        <v>0.87803278688524589</v>
      </c>
      <c r="P481">
        <f t="shared" si="39"/>
        <v>117425</v>
      </c>
      <c r="Q481" s="6">
        <f>MIN(Table1[Unit Price])/Table1[[#This Row],[Unit Price]]</f>
        <v>6.4935064935064929E-2</v>
      </c>
      <c r="R481" s="8">
        <f>IF(Table1[[#This Row],[Delivery Delay]]&gt;0,1,0)</f>
        <v>1</v>
      </c>
      <c r="S481" s="6">
        <f>(Table1[[#This Row],[OTD]]*0.4)+(Table1[[#This Row],[Quality Rate]]*0.3)+(Table1[[#This Row],[Fill Rate]]*0.2)+(Table1[[#This Row],[Cost Score]]*0.1)</f>
        <v>0.46964139102011498</v>
      </c>
      <c r="T481">
        <f>MAX(Table1[OTD])</f>
        <v>1</v>
      </c>
      <c r="U481" t="str">
        <f>IF(Table1[[#This Row],[Vendor Score]]&gt;=90%,"Excellent",IF(Table1[[#This Row],[Vendor Score]]&gt;=75%,"Moderate","Poor"))</f>
        <v>Poor</v>
      </c>
    </row>
    <row r="482" spans="1:21" x14ac:dyDescent="0.35">
      <c r="A482" t="s">
        <v>122</v>
      </c>
      <c r="B482" t="s">
        <v>45</v>
      </c>
      <c r="C482" t="s">
        <v>46</v>
      </c>
      <c r="D482" t="s">
        <v>14</v>
      </c>
      <c r="E482" t="s">
        <v>15</v>
      </c>
      <c r="F482">
        <v>2595</v>
      </c>
      <c r="G482">
        <v>2433</v>
      </c>
      <c r="H482" s="1">
        <v>46378</v>
      </c>
      <c r="I482" s="1">
        <v>46387</v>
      </c>
      <c r="J482">
        <v>224</v>
      </c>
      <c r="K482">
        <v>56</v>
      </c>
      <c r="L482">
        <f t="shared" si="35"/>
        <v>9</v>
      </c>
      <c r="M482" s="6">
        <f t="shared" si="36"/>
        <v>0</v>
      </c>
      <c r="N482" s="6">
        <f t="shared" si="37"/>
        <v>0.93757225433526015</v>
      </c>
      <c r="O482" s="6">
        <f t="shared" si="38"/>
        <v>0.90793259350595967</v>
      </c>
      <c r="P482">
        <f t="shared" si="39"/>
        <v>136248</v>
      </c>
      <c r="Q482" s="6">
        <f>MIN(Table1[Unit Price])/Table1[[#This Row],[Unit Price]]</f>
        <v>8.9285714285714288E-2</v>
      </c>
      <c r="R482" s="8">
        <f>IF(Table1[[#This Row],[Delivery Delay]]&gt;0,1,0)</f>
        <v>1</v>
      </c>
      <c r="S482" s="6">
        <f>(Table1[[#This Row],[OTD]]*0.4)+(Table1[[#This Row],[Quality Rate]]*0.3)+(Table1[[#This Row],[Fill Rate]]*0.2)+(Table1[[#This Row],[Cost Score]]*0.1)</f>
        <v>0.46882280034741136</v>
      </c>
      <c r="T482">
        <f>MAX(Table1[OTD])</f>
        <v>1</v>
      </c>
      <c r="U482" t="str">
        <f>IF(Table1[[#This Row],[Vendor Score]]&gt;=90%,"Excellent",IF(Table1[[#This Row],[Vendor Score]]&gt;=75%,"Moderate","Poor"))</f>
        <v>Poor</v>
      </c>
    </row>
    <row r="483" spans="1:21" x14ac:dyDescent="0.35">
      <c r="A483" t="s">
        <v>98</v>
      </c>
      <c r="B483" t="s">
        <v>22</v>
      </c>
      <c r="C483" t="s">
        <v>23</v>
      </c>
      <c r="D483" t="s">
        <v>55</v>
      </c>
      <c r="E483" t="s">
        <v>47</v>
      </c>
      <c r="F483">
        <v>1652</v>
      </c>
      <c r="G483">
        <v>1552</v>
      </c>
      <c r="H483" s="1">
        <v>46346</v>
      </c>
      <c r="I483" s="1">
        <v>46351</v>
      </c>
      <c r="J483">
        <v>113</v>
      </c>
      <c r="K483">
        <v>217</v>
      </c>
      <c r="L483">
        <f t="shared" si="35"/>
        <v>5</v>
      </c>
      <c r="M483" s="6">
        <f t="shared" si="36"/>
        <v>0</v>
      </c>
      <c r="N483" s="6">
        <f t="shared" si="37"/>
        <v>0.93946731234866832</v>
      </c>
      <c r="O483" s="6">
        <f t="shared" si="38"/>
        <v>0.92719072164948457</v>
      </c>
      <c r="P483">
        <f t="shared" si="39"/>
        <v>336784</v>
      </c>
      <c r="Q483" s="6">
        <f>MIN(Table1[Unit Price])/Table1[[#This Row],[Unit Price]]</f>
        <v>2.3041474654377881E-2</v>
      </c>
      <c r="R483" s="8">
        <f>IF(Table1[[#This Row],[Delivery Delay]]&gt;0,1,0)</f>
        <v>1</v>
      </c>
      <c r="S483" s="6">
        <f>(Table1[[#This Row],[OTD]]*0.4)+(Table1[[#This Row],[Quality Rate]]*0.3)+(Table1[[#This Row],[Fill Rate]]*0.2)+(Table1[[#This Row],[Cost Score]]*0.1)</f>
        <v>0.46835482643001686</v>
      </c>
      <c r="T483">
        <f>MAX(Table1[OTD])</f>
        <v>1</v>
      </c>
      <c r="U483" t="str">
        <f>IF(Table1[[#This Row],[Vendor Score]]&gt;=90%,"Excellent",IF(Table1[[#This Row],[Vendor Score]]&gt;=75%,"Moderate","Poor"))</f>
        <v>Poor</v>
      </c>
    </row>
    <row r="484" spans="1:21" x14ac:dyDescent="0.35">
      <c r="A484" t="s">
        <v>490</v>
      </c>
      <c r="B484" t="s">
        <v>12</v>
      </c>
      <c r="C484" t="s">
        <v>13</v>
      </c>
      <c r="D484" t="s">
        <v>33</v>
      </c>
      <c r="E484" t="s">
        <v>57</v>
      </c>
      <c r="F484">
        <v>648</v>
      </c>
      <c r="G484">
        <v>648</v>
      </c>
      <c r="H484" s="1">
        <v>46319</v>
      </c>
      <c r="I484" s="1">
        <v>46329</v>
      </c>
      <c r="J484">
        <v>78</v>
      </c>
      <c r="K484">
        <v>140</v>
      </c>
      <c r="L484">
        <f t="shared" si="35"/>
        <v>10</v>
      </c>
      <c r="M484" s="6">
        <f t="shared" si="36"/>
        <v>0</v>
      </c>
      <c r="N484" s="6">
        <f t="shared" si="37"/>
        <v>1</v>
      </c>
      <c r="O484" s="6">
        <f t="shared" si="38"/>
        <v>0.87962962962962965</v>
      </c>
      <c r="P484">
        <f t="shared" si="39"/>
        <v>90720</v>
      </c>
      <c r="Q484" s="6">
        <f>MIN(Table1[Unit Price])/Table1[[#This Row],[Unit Price]]</f>
        <v>3.5714285714285712E-2</v>
      </c>
      <c r="R484" s="8">
        <f>IF(Table1[[#This Row],[Delivery Delay]]&gt;0,1,0)</f>
        <v>1</v>
      </c>
      <c r="S484" s="6">
        <f>(Table1[[#This Row],[OTD]]*0.4)+(Table1[[#This Row],[Quality Rate]]*0.3)+(Table1[[#This Row],[Fill Rate]]*0.2)+(Table1[[#This Row],[Cost Score]]*0.1)</f>
        <v>0.46746031746031746</v>
      </c>
      <c r="T484">
        <f>MAX(Table1[OTD])</f>
        <v>1</v>
      </c>
      <c r="U484" t="str">
        <f>IF(Table1[[#This Row],[Vendor Score]]&gt;=90%,"Excellent",IF(Table1[[#This Row],[Vendor Score]]&gt;=75%,"Moderate","Poor"))</f>
        <v>Poor</v>
      </c>
    </row>
    <row r="485" spans="1:21" x14ac:dyDescent="0.35">
      <c r="A485" t="s">
        <v>464</v>
      </c>
      <c r="B485" t="s">
        <v>22</v>
      </c>
      <c r="C485" t="s">
        <v>23</v>
      </c>
      <c r="D485" t="s">
        <v>55</v>
      </c>
      <c r="E485" t="s">
        <v>28</v>
      </c>
      <c r="F485">
        <v>4204</v>
      </c>
      <c r="G485">
        <v>3874</v>
      </c>
      <c r="H485" s="1">
        <v>46294</v>
      </c>
      <c r="I485" s="1">
        <v>46299</v>
      </c>
      <c r="J485">
        <v>274</v>
      </c>
      <c r="K485">
        <v>126</v>
      </c>
      <c r="L485">
        <f t="shared" si="35"/>
        <v>5</v>
      </c>
      <c r="M485" s="6">
        <f t="shared" si="36"/>
        <v>0</v>
      </c>
      <c r="N485" s="6">
        <f t="shared" si="37"/>
        <v>0.92150333016175068</v>
      </c>
      <c r="O485" s="6">
        <f t="shared" si="38"/>
        <v>0.92927207021166758</v>
      </c>
      <c r="P485">
        <f t="shared" si="39"/>
        <v>488124</v>
      </c>
      <c r="Q485" s="6">
        <f>MIN(Table1[Unit Price])/Table1[[#This Row],[Unit Price]]</f>
        <v>3.968253968253968E-2</v>
      </c>
      <c r="R485" s="8">
        <f>IF(Table1[[#This Row],[Delivery Delay]]&gt;0,1,0)</f>
        <v>1</v>
      </c>
      <c r="S485" s="6">
        <f>(Table1[[#This Row],[OTD]]*0.4)+(Table1[[#This Row],[Quality Rate]]*0.3)+(Table1[[#This Row],[Fill Rate]]*0.2)+(Table1[[#This Row],[Cost Score]]*0.1)</f>
        <v>0.46705054106410437</v>
      </c>
      <c r="T485">
        <f>MAX(Table1[OTD])</f>
        <v>1</v>
      </c>
      <c r="U485" t="str">
        <f>IF(Table1[[#This Row],[Vendor Score]]&gt;=90%,"Excellent",IF(Table1[[#This Row],[Vendor Score]]&gt;=75%,"Moderate","Poor"))</f>
        <v>Poor</v>
      </c>
    </row>
    <row r="486" spans="1:21" x14ac:dyDescent="0.35">
      <c r="A486" t="s">
        <v>324</v>
      </c>
      <c r="B486" t="s">
        <v>12</v>
      </c>
      <c r="C486" t="s">
        <v>13</v>
      </c>
      <c r="D486" t="s">
        <v>33</v>
      </c>
      <c r="E486" t="s">
        <v>15</v>
      </c>
      <c r="F486">
        <v>1280</v>
      </c>
      <c r="G486">
        <v>1250</v>
      </c>
      <c r="H486" s="1">
        <v>46357</v>
      </c>
      <c r="I486" s="1">
        <v>46359</v>
      </c>
      <c r="J486">
        <v>151</v>
      </c>
      <c r="K486">
        <v>69</v>
      </c>
      <c r="L486">
        <f t="shared" si="35"/>
        <v>2</v>
      </c>
      <c r="M486" s="6">
        <f t="shared" si="36"/>
        <v>0</v>
      </c>
      <c r="N486" s="6">
        <f t="shared" si="37"/>
        <v>0.9765625</v>
      </c>
      <c r="O486" s="6">
        <f t="shared" si="38"/>
        <v>0.87919999999999998</v>
      </c>
      <c r="P486">
        <f t="shared" si="39"/>
        <v>86250</v>
      </c>
      <c r="Q486" s="6">
        <f>MIN(Table1[Unit Price])/Table1[[#This Row],[Unit Price]]</f>
        <v>7.2463768115942032E-2</v>
      </c>
      <c r="R486" s="8">
        <f>IF(Table1[[#This Row],[Delivery Delay]]&gt;0,1,0)</f>
        <v>1</v>
      </c>
      <c r="S486" s="6">
        <f>(Table1[[#This Row],[OTD]]*0.4)+(Table1[[#This Row],[Quality Rate]]*0.3)+(Table1[[#This Row],[Fill Rate]]*0.2)+(Table1[[#This Row],[Cost Score]]*0.1)</f>
        <v>0.46631887681159417</v>
      </c>
      <c r="T486">
        <f>MAX(Table1[OTD])</f>
        <v>1</v>
      </c>
      <c r="U486" t="str">
        <f>IF(Table1[[#This Row],[Vendor Score]]&gt;=90%,"Excellent",IF(Table1[[#This Row],[Vendor Score]]&gt;=75%,"Moderate","Poor"))</f>
        <v>Poor</v>
      </c>
    </row>
    <row r="487" spans="1:21" x14ac:dyDescent="0.35">
      <c r="A487" t="s">
        <v>440</v>
      </c>
      <c r="B487" t="s">
        <v>12</v>
      </c>
      <c r="C487" t="s">
        <v>13</v>
      </c>
      <c r="D487" t="s">
        <v>55</v>
      </c>
      <c r="E487" t="s">
        <v>15</v>
      </c>
      <c r="F487">
        <v>3353</v>
      </c>
      <c r="G487">
        <v>3329</v>
      </c>
      <c r="H487" s="1">
        <v>46377</v>
      </c>
      <c r="I487" s="1">
        <v>46386</v>
      </c>
      <c r="J487">
        <v>401</v>
      </c>
      <c r="K487">
        <v>240</v>
      </c>
      <c r="L487">
        <f t="shared" si="35"/>
        <v>9</v>
      </c>
      <c r="M487" s="6">
        <f t="shared" si="36"/>
        <v>0</v>
      </c>
      <c r="N487" s="6">
        <f t="shared" si="37"/>
        <v>0.99284223083805545</v>
      </c>
      <c r="O487" s="6">
        <f t="shared" si="38"/>
        <v>0.87954340642835682</v>
      </c>
      <c r="P487">
        <f t="shared" si="39"/>
        <v>798960</v>
      </c>
      <c r="Q487" s="6">
        <f>MIN(Table1[Unit Price])/Table1[[#This Row],[Unit Price]]</f>
        <v>2.0833333333333332E-2</v>
      </c>
      <c r="R487" s="8">
        <f>IF(Table1[[#This Row],[Delivery Delay]]&gt;0,1,0)</f>
        <v>1</v>
      </c>
      <c r="S487" s="6">
        <f>(Table1[[#This Row],[OTD]]*0.4)+(Table1[[#This Row],[Quality Rate]]*0.3)+(Table1[[#This Row],[Fill Rate]]*0.2)+(Table1[[#This Row],[Cost Score]]*0.1)</f>
        <v>0.46451480142945145</v>
      </c>
      <c r="T487">
        <f>MAX(Table1[OTD])</f>
        <v>1</v>
      </c>
      <c r="U487" t="str">
        <f>IF(Table1[[#This Row],[Vendor Score]]&gt;=90%,"Excellent",IF(Table1[[#This Row],[Vendor Score]]&gt;=75%,"Moderate","Poor"))</f>
        <v>Poor</v>
      </c>
    </row>
    <row r="488" spans="1:21" x14ac:dyDescent="0.35">
      <c r="A488" t="s">
        <v>216</v>
      </c>
      <c r="B488" t="s">
        <v>12</v>
      </c>
      <c r="C488" t="s">
        <v>13</v>
      </c>
      <c r="D488" t="s">
        <v>33</v>
      </c>
      <c r="E488" t="s">
        <v>15</v>
      </c>
      <c r="F488">
        <v>350</v>
      </c>
      <c r="G488">
        <v>342</v>
      </c>
      <c r="H488" s="1">
        <v>46382</v>
      </c>
      <c r="I488" s="1">
        <v>46384</v>
      </c>
      <c r="J488">
        <v>42</v>
      </c>
      <c r="K488">
        <v>97</v>
      </c>
      <c r="L488">
        <f t="shared" si="35"/>
        <v>2</v>
      </c>
      <c r="M488" s="6">
        <f t="shared" si="36"/>
        <v>0</v>
      </c>
      <c r="N488" s="6">
        <f t="shared" si="37"/>
        <v>0.97714285714285709</v>
      </c>
      <c r="O488" s="6">
        <f t="shared" si="38"/>
        <v>0.8771929824561403</v>
      </c>
      <c r="P488">
        <f t="shared" si="39"/>
        <v>33174</v>
      </c>
      <c r="Q488" s="6">
        <f>MIN(Table1[Unit Price])/Table1[[#This Row],[Unit Price]]</f>
        <v>5.1546391752577317E-2</v>
      </c>
      <c r="R488" s="8">
        <f>IF(Table1[[#This Row],[Delivery Delay]]&gt;0,1,0)</f>
        <v>1</v>
      </c>
      <c r="S488" s="6">
        <f>(Table1[[#This Row],[OTD]]*0.4)+(Table1[[#This Row],[Quality Rate]]*0.3)+(Table1[[#This Row],[Fill Rate]]*0.2)+(Table1[[#This Row],[Cost Score]]*0.1)</f>
        <v>0.46374110534067126</v>
      </c>
      <c r="T488">
        <f>MAX(Table1[OTD])</f>
        <v>1</v>
      </c>
      <c r="U488" t="str">
        <f>IF(Table1[[#This Row],[Vendor Score]]&gt;=90%,"Excellent",IF(Table1[[#This Row],[Vendor Score]]&gt;=75%,"Moderate","Poor"))</f>
        <v>Poor</v>
      </c>
    </row>
    <row r="489" spans="1:21" x14ac:dyDescent="0.35">
      <c r="A489" t="s">
        <v>323</v>
      </c>
      <c r="B489" t="s">
        <v>12</v>
      </c>
      <c r="C489" t="s">
        <v>13</v>
      </c>
      <c r="D489" t="s">
        <v>33</v>
      </c>
      <c r="E489" t="s">
        <v>15</v>
      </c>
      <c r="F489">
        <v>3958</v>
      </c>
      <c r="G489">
        <v>3886</v>
      </c>
      <c r="H489" s="1">
        <v>46385</v>
      </c>
      <c r="I489" s="1">
        <v>46394</v>
      </c>
      <c r="J489">
        <v>468</v>
      </c>
      <c r="K489">
        <v>174</v>
      </c>
      <c r="L489">
        <f t="shared" si="35"/>
        <v>9</v>
      </c>
      <c r="M489" s="6">
        <f t="shared" si="36"/>
        <v>0</v>
      </c>
      <c r="N489" s="6">
        <f t="shared" si="37"/>
        <v>0.98180899444163716</v>
      </c>
      <c r="O489" s="6">
        <f t="shared" si="38"/>
        <v>0.8795676788471436</v>
      </c>
      <c r="P489">
        <f t="shared" si="39"/>
        <v>676164</v>
      </c>
      <c r="Q489" s="6">
        <f>MIN(Table1[Unit Price])/Table1[[#This Row],[Unit Price]]</f>
        <v>2.8735632183908046E-2</v>
      </c>
      <c r="R489" s="8">
        <f>IF(Table1[[#This Row],[Delivery Delay]]&gt;0,1,0)</f>
        <v>1</v>
      </c>
      <c r="S489" s="6">
        <f>(Table1[[#This Row],[OTD]]*0.4)+(Table1[[#This Row],[Quality Rate]]*0.3)+(Table1[[#This Row],[Fill Rate]]*0.2)+(Table1[[#This Row],[Cost Score]]*0.1)</f>
        <v>0.46310566576086132</v>
      </c>
      <c r="T489">
        <f>MAX(Table1[OTD])</f>
        <v>1</v>
      </c>
      <c r="U489" t="str">
        <f>IF(Table1[[#This Row],[Vendor Score]]&gt;=90%,"Excellent",IF(Table1[[#This Row],[Vendor Score]]&gt;=75%,"Moderate","Poor"))</f>
        <v>Poor</v>
      </c>
    </row>
    <row r="490" spans="1:21" x14ac:dyDescent="0.35">
      <c r="A490" t="s">
        <v>462</v>
      </c>
      <c r="B490" t="s">
        <v>45</v>
      </c>
      <c r="C490" t="s">
        <v>46</v>
      </c>
      <c r="D490" t="s">
        <v>19</v>
      </c>
      <c r="E490" t="s">
        <v>40</v>
      </c>
      <c r="F490">
        <v>4519</v>
      </c>
      <c r="G490">
        <v>4168</v>
      </c>
      <c r="H490" s="1">
        <v>46260</v>
      </c>
      <c r="I490" s="1">
        <v>46270</v>
      </c>
      <c r="J490">
        <v>377</v>
      </c>
      <c r="K490">
        <v>91</v>
      </c>
      <c r="L490">
        <f t="shared" si="35"/>
        <v>10</v>
      </c>
      <c r="M490" s="6">
        <f t="shared" si="36"/>
        <v>0</v>
      </c>
      <c r="N490" s="6">
        <f t="shared" si="37"/>
        <v>0.92232794866120826</v>
      </c>
      <c r="O490" s="6">
        <f t="shared" si="38"/>
        <v>0.90954894433781186</v>
      </c>
      <c r="P490">
        <f t="shared" si="39"/>
        <v>379288</v>
      </c>
      <c r="Q490" s="6">
        <f>MIN(Table1[Unit Price])/Table1[[#This Row],[Unit Price]]</f>
        <v>5.4945054945054944E-2</v>
      </c>
      <c r="R490" s="8">
        <f>IF(Table1[[#This Row],[Delivery Delay]]&gt;0,1,0)</f>
        <v>1</v>
      </c>
      <c r="S490" s="6">
        <f>(Table1[[#This Row],[OTD]]*0.4)+(Table1[[#This Row],[Quality Rate]]*0.3)+(Table1[[#This Row],[Fill Rate]]*0.2)+(Table1[[#This Row],[Cost Score]]*0.1)</f>
        <v>0.46282477852809067</v>
      </c>
      <c r="T490">
        <f>MAX(Table1[OTD])</f>
        <v>1</v>
      </c>
      <c r="U490" t="str">
        <f>IF(Table1[[#This Row],[Vendor Score]]&gt;=90%,"Excellent",IF(Table1[[#This Row],[Vendor Score]]&gt;=75%,"Moderate","Poor"))</f>
        <v>Poor</v>
      </c>
    </row>
    <row r="491" spans="1:21" x14ac:dyDescent="0.35">
      <c r="A491" t="s">
        <v>225</v>
      </c>
      <c r="B491" t="s">
        <v>12</v>
      </c>
      <c r="C491" t="s">
        <v>13</v>
      </c>
      <c r="D491" t="s">
        <v>19</v>
      </c>
      <c r="E491" t="s">
        <v>34</v>
      </c>
      <c r="F491">
        <v>2916</v>
      </c>
      <c r="G491">
        <v>2843</v>
      </c>
      <c r="H491" s="1">
        <v>46193</v>
      </c>
      <c r="I491" s="1">
        <v>46202</v>
      </c>
      <c r="J491">
        <v>347</v>
      </c>
      <c r="K491">
        <v>134</v>
      </c>
      <c r="L491">
        <f t="shared" si="35"/>
        <v>9</v>
      </c>
      <c r="M491" s="6">
        <f t="shared" si="36"/>
        <v>0</v>
      </c>
      <c r="N491" s="6">
        <f t="shared" si="37"/>
        <v>0.97496570644718794</v>
      </c>
      <c r="O491" s="6">
        <f t="shared" si="38"/>
        <v>0.87794583186774533</v>
      </c>
      <c r="P491">
        <f t="shared" si="39"/>
        <v>380962</v>
      </c>
      <c r="Q491" s="6">
        <f>MIN(Table1[Unit Price])/Table1[[#This Row],[Unit Price]]</f>
        <v>3.7313432835820892E-2</v>
      </c>
      <c r="R491" s="8">
        <f>IF(Table1[[#This Row],[Delivery Delay]]&gt;0,1,0)</f>
        <v>1</v>
      </c>
      <c r="S491" s="6">
        <f>(Table1[[#This Row],[OTD]]*0.4)+(Table1[[#This Row],[Quality Rate]]*0.3)+(Table1[[#This Row],[Fill Rate]]*0.2)+(Table1[[#This Row],[Cost Score]]*0.1)</f>
        <v>0.46210823413334329</v>
      </c>
      <c r="T491">
        <f>MAX(Table1[OTD])</f>
        <v>1</v>
      </c>
      <c r="U491" t="str">
        <f>IF(Table1[[#This Row],[Vendor Score]]&gt;=90%,"Excellent",IF(Table1[[#This Row],[Vendor Score]]&gt;=75%,"Moderate","Poor"))</f>
        <v>Poor</v>
      </c>
    </row>
    <row r="492" spans="1:21" x14ac:dyDescent="0.35">
      <c r="A492" t="s">
        <v>505</v>
      </c>
      <c r="B492" t="s">
        <v>12</v>
      </c>
      <c r="C492" t="s">
        <v>13</v>
      </c>
      <c r="D492" t="s">
        <v>14</v>
      </c>
      <c r="E492" t="s">
        <v>15</v>
      </c>
      <c r="F492">
        <v>3857</v>
      </c>
      <c r="G492">
        <v>3769</v>
      </c>
      <c r="H492" s="1">
        <v>46370</v>
      </c>
      <c r="I492" s="1">
        <v>46373</v>
      </c>
      <c r="J492">
        <v>457</v>
      </c>
      <c r="K492">
        <v>168</v>
      </c>
      <c r="L492">
        <f t="shared" si="35"/>
        <v>3</v>
      </c>
      <c r="M492" s="6">
        <f t="shared" si="36"/>
        <v>0</v>
      </c>
      <c r="N492" s="6">
        <f t="shared" si="37"/>
        <v>0.97718434016074673</v>
      </c>
      <c r="O492" s="6">
        <f t="shared" si="38"/>
        <v>0.87874767842929158</v>
      </c>
      <c r="P492">
        <f t="shared" si="39"/>
        <v>633192</v>
      </c>
      <c r="Q492" s="6">
        <f>MIN(Table1[Unit Price])/Table1[[#This Row],[Unit Price]]</f>
        <v>2.976190476190476E-2</v>
      </c>
      <c r="R492" s="8">
        <f>IF(Table1[[#This Row],[Delivery Delay]]&gt;0,1,0)</f>
        <v>1</v>
      </c>
      <c r="S492" s="6">
        <f>(Table1[[#This Row],[OTD]]*0.4)+(Table1[[#This Row],[Quality Rate]]*0.3)+(Table1[[#This Row],[Fill Rate]]*0.2)+(Table1[[#This Row],[Cost Score]]*0.1)</f>
        <v>0.46203736203712731</v>
      </c>
      <c r="T492">
        <f>MAX(Table1[OTD])</f>
        <v>1</v>
      </c>
      <c r="U492" t="str">
        <f>IF(Table1[[#This Row],[Vendor Score]]&gt;=90%,"Excellent",IF(Table1[[#This Row],[Vendor Score]]&gt;=75%,"Moderate","Poor"))</f>
        <v>Poor</v>
      </c>
    </row>
    <row r="493" spans="1:21" x14ac:dyDescent="0.35">
      <c r="A493" t="s">
        <v>83</v>
      </c>
      <c r="B493" t="s">
        <v>12</v>
      </c>
      <c r="C493" t="s">
        <v>13</v>
      </c>
      <c r="D493" t="s">
        <v>33</v>
      </c>
      <c r="E493" t="s">
        <v>47</v>
      </c>
      <c r="F493">
        <v>636</v>
      </c>
      <c r="G493">
        <v>606</v>
      </c>
      <c r="H493" s="1">
        <v>46347</v>
      </c>
      <c r="I493" s="1">
        <v>46350</v>
      </c>
      <c r="J493">
        <v>74</v>
      </c>
      <c r="K493">
        <v>69</v>
      </c>
      <c r="L493">
        <f t="shared" si="35"/>
        <v>3</v>
      </c>
      <c r="M493" s="6">
        <f t="shared" si="36"/>
        <v>0</v>
      </c>
      <c r="N493" s="6">
        <f t="shared" si="37"/>
        <v>0.95283018867924529</v>
      </c>
      <c r="O493" s="6">
        <f t="shared" si="38"/>
        <v>0.87788778877887785</v>
      </c>
      <c r="P493">
        <f t="shared" si="39"/>
        <v>41814</v>
      </c>
      <c r="Q493" s="6">
        <f>MIN(Table1[Unit Price])/Table1[[#This Row],[Unit Price]]</f>
        <v>7.2463768115942032E-2</v>
      </c>
      <c r="R493" s="8">
        <f>IF(Table1[[#This Row],[Delivery Delay]]&gt;0,1,0)</f>
        <v>1</v>
      </c>
      <c r="S493" s="6">
        <f>(Table1[[#This Row],[OTD]]*0.4)+(Table1[[#This Row],[Quality Rate]]*0.3)+(Table1[[#This Row],[Fill Rate]]*0.2)+(Table1[[#This Row],[Cost Score]]*0.1)</f>
        <v>0.46117875118110657</v>
      </c>
      <c r="T493">
        <f>MAX(Table1[OTD])</f>
        <v>1</v>
      </c>
      <c r="U493" t="str">
        <f>IF(Table1[[#This Row],[Vendor Score]]&gt;=90%,"Excellent",IF(Table1[[#This Row],[Vendor Score]]&gt;=75%,"Moderate","Poor"))</f>
        <v>Poor</v>
      </c>
    </row>
    <row r="494" spans="1:21" x14ac:dyDescent="0.35">
      <c r="A494" t="s">
        <v>199</v>
      </c>
      <c r="B494" t="s">
        <v>45</v>
      </c>
      <c r="C494" t="s">
        <v>46</v>
      </c>
      <c r="D494" t="s">
        <v>55</v>
      </c>
      <c r="E494" t="s">
        <v>70</v>
      </c>
      <c r="F494">
        <v>3956</v>
      </c>
      <c r="G494">
        <v>3672</v>
      </c>
      <c r="H494" s="1">
        <v>46027</v>
      </c>
      <c r="I494" s="1">
        <v>46035</v>
      </c>
      <c r="J494">
        <v>334</v>
      </c>
      <c r="K494">
        <v>181</v>
      </c>
      <c r="L494">
        <f t="shared" si="35"/>
        <v>8</v>
      </c>
      <c r="M494" s="6">
        <f t="shared" si="36"/>
        <v>0</v>
      </c>
      <c r="N494" s="6">
        <f t="shared" si="37"/>
        <v>0.92821031344792715</v>
      </c>
      <c r="O494" s="6">
        <f t="shared" si="38"/>
        <v>0.90904139433551201</v>
      </c>
      <c r="P494">
        <f t="shared" si="39"/>
        <v>664632</v>
      </c>
      <c r="Q494" s="6">
        <f>MIN(Table1[Unit Price])/Table1[[#This Row],[Unit Price]]</f>
        <v>2.7624309392265192E-2</v>
      </c>
      <c r="R494" s="8">
        <f>IF(Table1[[#This Row],[Delivery Delay]]&gt;0,1,0)</f>
        <v>1</v>
      </c>
      <c r="S494" s="6">
        <f>(Table1[[#This Row],[OTD]]*0.4)+(Table1[[#This Row],[Quality Rate]]*0.3)+(Table1[[#This Row],[Fill Rate]]*0.2)+(Table1[[#This Row],[Cost Score]]*0.1)</f>
        <v>0.46111691192946552</v>
      </c>
      <c r="T494">
        <f>MAX(Table1[OTD])</f>
        <v>1</v>
      </c>
      <c r="U494" t="str">
        <f>IF(Table1[[#This Row],[Vendor Score]]&gt;=90%,"Excellent",IF(Table1[[#This Row],[Vendor Score]]&gt;=75%,"Moderate","Poor"))</f>
        <v>Poor</v>
      </c>
    </row>
    <row r="495" spans="1:21" x14ac:dyDescent="0.35">
      <c r="A495" t="s">
        <v>11</v>
      </c>
      <c r="B495" t="s">
        <v>12</v>
      </c>
      <c r="C495" t="s">
        <v>13</v>
      </c>
      <c r="D495" t="s">
        <v>14</v>
      </c>
      <c r="E495" t="s">
        <v>15</v>
      </c>
      <c r="F495">
        <v>3249</v>
      </c>
      <c r="G495">
        <v>3071</v>
      </c>
      <c r="H495" s="1">
        <v>46383</v>
      </c>
      <c r="I495" s="1">
        <v>46392</v>
      </c>
      <c r="J495">
        <v>369</v>
      </c>
      <c r="K495">
        <v>151</v>
      </c>
      <c r="L495">
        <f t="shared" si="35"/>
        <v>9</v>
      </c>
      <c r="M495" s="6">
        <f t="shared" si="36"/>
        <v>0</v>
      </c>
      <c r="N495" s="6">
        <f t="shared" si="37"/>
        <v>0.94521391197291471</v>
      </c>
      <c r="O495" s="6">
        <f t="shared" si="38"/>
        <v>0.87984369912080751</v>
      </c>
      <c r="P495">
        <f t="shared" si="39"/>
        <v>463721</v>
      </c>
      <c r="Q495" s="6">
        <f>MIN(Table1[Unit Price])/Table1[[#This Row],[Unit Price]]</f>
        <v>3.3112582781456956E-2</v>
      </c>
      <c r="R495" s="8">
        <f>IF(Table1[[#This Row],[Delivery Delay]]&gt;0,1,0)</f>
        <v>1</v>
      </c>
      <c r="S495" s="6">
        <f>(Table1[[#This Row],[OTD]]*0.4)+(Table1[[#This Row],[Quality Rate]]*0.3)+(Table1[[#This Row],[Fill Rate]]*0.2)+(Table1[[#This Row],[Cost Score]]*0.1)</f>
        <v>0.45630715040897091</v>
      </c>
      <c r="T495">
        <f>MAX(Table1[OTD])</f>
        <v>1</v>
      </c>
      <c r="U495" t="str">
        <f>IF(Table1[[#This Row],[Vendor Score]]&gt;=90%,"Excellent",IF(Table1[[#This Row],[Vendor Score]]&gt;=75%,"Moderate","Poor"))</f>
        <v>Poor</v>
      </c>
    </row>
    <row r="496" spans="1:21" x14ac:dyDescent="0.35">
      <c r="A496" t="s">
        <v>516</v>
      </c>
      <c r="B496" t="s">
        <v>12</v>
      </c>
      <c r="C496" t="s">
        <v>13</v>
      </c>
      <c r="D496" t="s">
        <v>33</v>
      </c>
      <c r="E496" t="s">
        <v>24</v>
      </c>
      <c r="F496">
        <v>2364</v>
      </c>
      <c r="G496">
        <v>2179</v>
      </c>
      <c r="H496" s="1">
        <v>46155</v>
      </c>
      <c r="I496" s="1">
        <v>46164</v>
      </c>
      <c r="J496">
        <v>266</v>
      </c>
      <c r="K496">
        <v>63</v>
      </c>
      <c r="L496">
        <f t="shared" si="35"/>
        <v>9</v>
      </c>
      <c r="M496" s="6">
        <f t="shared" si="36"/>
        <v>0</v>
      </c>
      <c r="N496" s="6">
        <f t="shared" si="37"/>
        <v>0.92174280879864634</v>
      </c>
      <c r="O496" s="6">
        <f t="shared" si="38"/>
        <v>0.8779256539697109</v>
      </c>
      <c r="P496">
        <f t="shared" si="39"/>
        <v>137277</v>
      </c>
      <c r="Q496" s="6">
        <f>MIN(Table1[Unit Price])/Table1[[#This Row],[Unit Price]]</f>
        <v>7.9365079365079361E-2</v>
      </c>
      <c r="R496" s="8">
        <f>IF(Table1[[#This Row],[Delivery Delay]]&gt;0,1,0)</f>
        <v>1</v>
      </c>
      <c r="S496" s="6">
        <f>(Table1[[#This Row],[OTD]]*0.4)+(Table1[[#This Row],[Quality Rate]]*0.3)+(Table1[[#This Row],[Fill Rate]]*0.2)+(Table1[[#This Row],[Cost Score]]*0.1)</f>
        <v>0.45566276588715049</v>
      </c>
      <c r="T496">
        <f>MAX(Table1[OTD])</f>
        <v>1</v>
      </c>
      <c r="U496" t="str">
        <f>IF(Table1[[#This Row],[Vendor Score]]&gt;=90%,"Excellent",IF(Table1[[#This Row],[Vendor Score]]&gt;=75%,"Moderate","Poor"))</f>
        <v>Poor</v>
      </c>
    </row>
    <row r="497" spans="1:21" x14ac:dyDescent="0.35">
      <c r="A497" t="s">
        <v>273</v>
      </c>
      <c r="B497" t="s">
        <v>12</v>
      </c>
      <c r="C497" t="s">
        <v>13</v>
      </c>
      <c r="D497" t="s">
        <v>14</v>
      </c>
      <c r="E497" t="s">
        <v>24</v>
      </c>
      <c r="F497">
        <v>4663</v>
      </c>
      <c r="G497">
        <v>4290</v>
      </c>
      <c r="H497" s="1">
        <v>46173</v>
      </c>
      <c r="I497" s="1">
        <v>46179</v>
      </c>
      <c r="J497">
        <v>516</v>
      </c>
      <c r="K497">
        <v>74</v>
      </c>
      <c r="L497">
        <f t="shared" si="35"/>
        <v>6</v>
      </c>
      <c r="M497" s="6">
        <f t="shared" si="36"/>
        <v>0</v>
      </c>
      <c r="N497" s="6">
        <f t="shared" si="37"/>
        <v>0.92000857816856096</v>
      </c>
      <c r="O497" s="6">
        <f t="shared" si="38"/>
        <v>0.87972027972027977</v>
      </c>
      <c r="P497">
        <f t="shared" si="39"/>
        <v>317460</v>
      </c>
      <c r="Q497" s="6">
        <f>MIN(Table1[Unit Price])/Table1[[#This Row],[Unit Price]]</f>
        <v>6.7567567567567571E-2</v>
      </c>
      <c r="R497" s="8">
        <f>IF(Table1[[#This Row],[Delivery Delay]]&gt;0,1,0)</f>
        <v>1</v>
      </c>
      <c r="S497" s="6">
        <f>(Table1[[#This Row],[OTD]]*0.4)+(Table1[[#This Row],[Quality Rate]]*0.3)+(Table1[[#This Row],[Fill Rate]]*0.2)+(Table1[[#This Row],[Cost Score]]*0.1)</f>
        <v>0.45467455630655285</v>
      </c>
      <c r="T497">
        <f>MAX(Table1[OTD])</f>
        <v>1</v>
      </c>
      <c r="U497" t="str">
        <f>IF(Table1[[#This Row],[Vendor Score]]&gt;=90%,"Excellent",IF(Table1[[#This Row],[Vendor Score]]&gt;=75%,"Moderate","Poor"))</f>
        <v>Poor</v>
      </c>
    </row>
    <row r="498" spans="1:21" x14ac:dyDescent="0.35">
      <c r="A498" t="s">
        <v>82</v>
      </c>
      <c r="B498" t="s">
        <v>12</v>
      </c>
      <c r="C498" t="s">
        <v>13</v>
      </c>
      <c r="D498" t="s">
        <v>19</v>
      </c>
      <c r="E498" t="s">
        <v>40</v>
      </c>
      <c r="F498">
        <v>2469</v>
      </c>
      <c r="G498">
        <v>2298</v>
      </c>
      <c r="H498" s="1">
        <v>46246</v>
      </c>
      <c r="I498" s="1">
        <v>46255</v>
      </c>
      <c r="J498">
        <v>281</v>
      </c>
      <c r="K498">
        <v>103</v>
      </c>
      <c r="L498">
        <f t="shared" si="35"/>
        <v>9</v>
      </c>
      <c r="M498" s="6">
        <f t="shared" si="36"/>
        <v>0</v>
      </c>
      <c r="N498" s="6">
        <f t="shared" si="37"/>
        <v>0.93074119076549211</v>
      </c>
      <c r="O498" s="6">
        <f t="shared" si="38"/>
        <v>0.87771975630983468</v>
      </c>
      <c r="P498">
        <f t="shared" si="39"/>
        <v>236694</v>
      </c>
      <c r="Q498" s="6">
        <f>MIN(Table1[Unit Price])/Table1[[#This Row],[Unit Price]]</f>
        <v>4.8543689320388349E-2</v>
      </c>
      <c r="R498" s="8">
        <f>IF(Table1[[#This Row],[Delivery Delay]]&gt;0,1,0)</f>
        <v>1</v>
      </c>
      <c r="S498" s="6">
        <f>(Table1[[#This Row],[OTD]]*0.4)+(Table1[[#This Row],[Quality Rate]]*0.3)+(Table1[[#This Row],[Fill Rate]]*0.2)+(Table1[[#This Row],[Cost Score]]*0.1)</f>
        <v>0.45431853397808769</v>
      </c>
      <c r="T498">
        <f>MAX(Table1[OTD])</f>
        <v>1</v>
      </c>
      <c r="U498" t="str">
        <f>IF(Table1[[#This Row],[Vendor Score]]&gt;=90%,"Excellent",IF(Table1[[#This Row],[Vendor Score]]&gt;=75%,"Moderate","Poor"))</f>
        <v>Poor</v>
      </c>
    </row>
    <row r="499" spans="1:21" x14ac:dyDescent="0.35">
      <c r="A499" t="s">
        <v>495</v>
      </c>
      <c r="B499" t="s">
        <v>12</v>
      </c>
      <c r="C499" t="s">
        <v>13</v>
      </c>
      <c r="D499" t="s">
        <v>14</v>
      </c>
      <c r="E499" t="s">
        <v>52</v>
      </c>
      <c r="F499">
        <v>3346</v>
      </c>
      <c r="G499">
        <v>3121</v>
      </c>
      <c r="H499" s="1">
        <v>46107</v>
      </c>
      <c r="I499" s="1">
        <v>46114</v>
      </c>
      <c r="J499">
        <v>376</v>
      </c>
      <c r="K499">
        <v>142</v>
      </c>
      <c r="L499">
        <f t="shared" si="35"/>
        <v>7</v>
      </c>
      <c r="M499" s="6">
        <f t="shared" si="36"/>
        <v>0</v>
      </c>
      <c r="N499" s="6">
        <f t="shared" si="37"/>
        <v>0.9327555289898386</v>
      </c>
      <c r="O499" s="6">
        <f t="shared" si="38"/>
        <v>0.87952579301505929</v>
      </c>
      <c r="P499">
        <f t="shared" si="39"/>
        <v>443182</v>
      </c>
      <c r="Q499" s="6">
        <f>MIN(Table1[Unit Price])/Table1[[#This Row],[Unit Price]]</f>
        <v>3.5211267605633804E-2</v>
      </c>
      <c r="R499" s="8">
        <f>IF(Table1[[#This Row],[Delivery Delay]]&gt;0,1,0)</f>
        <v>1</v>
      </c>
      <c r="S499" s="6">
        <f>(Table1[[#This Row],[OTD]]*0.4)+(Table1[[#This Row],[Quality Rate]]*0.3)+(Table1[[#This Row],[Fill Rate]]*0.2)+(Table1[[#This Row],[Cost Score]]*0.1)</f>
        <v>0.45392997046304889</v>
      </c>
      <c r="T499">
        <f>MAX(Table1[OTD])</f>
        <v>1</v>
      </c>
      <c r="U499" t="str">
        <f>IF(Table1[[#This Row],[Vendor Score]]&gt;=90%,"Excellent",IF(Table1[[#This Row],[Vendor Score]]&gt;=75%,"Moderate","Poor"))</f>
        <v>Poor</v>
      </c>
    </row>
    <row r="500" spans="1:21" x14ac:dyDescent="0.35">
      <c r="A500" t="s">
        <v>121</v>
      </c>
      <c r="B500" t="s">
        <v>12</v>
      </c>
      <c r="C500" t="s">
        <v>13</v>
      </c>
      <c r="D500" t="s">
        <v>19</v>
      </c>
      <c r="E500" t="s">
        <v>20</v>
      </c>
      <c r="F500">
        <v>1350</v>
      </c>
      <c r="G500">
        <v>1243</v>
      </c>
      <c r="H500" s="1">
        <v>46225</v>
      </c>
      <c r="I500" s="1">
        <v>46232</v>
      </c>
      <c r="J500">
        <v>151</v>
      </c>
      <c r="K500">
        <v>85</v>
      </c>
      <c r="L500">
        <f t="shared" si="35"/>
        <v>7</v>
      </c>
      <c r="M500" s="6">
        <f t="shared" si="36"/>
        <v>0</v>
      </c>
      <c r="N500" s="6">
        <f t="shared" si="37"/>
        <v>0.92074074074074075</v>
      </c>
      <c r="O500" s="6">
        <f t="shared" si="38"/>
        <v>0.87851971037811749</v>
      </c>
      <c r="P500">
        <f t="shared" si="39"/>
        <v>105655</v>
      </c>
      <c r="Q500" s="6">
        <f>MIN(Table1[Unit Price])/Table1[[#This Row],[Unit Price]]</f>
        <v>5.8823529411764705E-2</v>
      </c>
      <c r="R500" s="8">
        <f>IF(Table1[[#This Row],[Delivery Delay]]&gt;0,1,0)</f>
        <v>1</v>
      </c>
      <c r="S500" s="6">
        <f>(Table1[[#This Row],[OTD]]*0.4)+(Table1[[#This Row],[Quality Rate]]*0.3)+(Table1[[#This Row],[Fill Rate]]*0.2)+(Table1[[#This Row],[Cost Score]]*0.1)</f>
        <v>0.45358641420275986</v>
      </c>
      <c r="T500">
        <f>MAX(Table1[OTD])</f>
        <v>1</v>
      </c>
      <c r="U500" t="str">
        <f>IF(Table1[[#This Row],[Vendor Score]]&gt;=90%,"Excellent",IF(Table1[[#This Row],[Vendor Score]]&gt;=75%,"Moderate","Poor"))</f>
        <v>Poor</v>
      </c>
    </row>
    <row r="501" spans="1:21" x14ac:dyDescent="0.35">
      <c r="A501" t="s">
        <v>509</v>
      </c>
      <c r="B501" t="s">
        <v>12</v>
      </c>
      <c r="C501" t="s">
        <v>13</v>
      </c>
      <c r="D501" t="s">
        <v>55</v>
      </c>
      <c r="E501" t="s">
        <v>70</v>
      </c>
      <c r="F501">
        <v>2032</v>
      </c>
      <c r="G501">
        <v>1873</v>
      </c>
      <c r="H501" s="1">
        <v>46035</v>
      </c>
      <c r="I501" s="1">
        <v>46036</v>
      </c>
      <c r="J501">
        <v>226</v>
      </c>
      <c r="K501">
        <v>141</v>
      </c>
      <c r="L501">
        <f t="shared" si="35"/>
        <v>1</v>
      </c>
      <c r="M501" s="6">
        <f t="shared" si="36"/>
        <v>0</v>
      </c>
      <c r="N501" s="6">
        <f t="shared" si="37"/>
        <v>0.92175196850393704</v>
      </c>
      <c r="O501" s="6">
        <f t="shared" si="38"/>
        <v>0.87933796049119062</v>
      </c>
      <c r="P501">
        <f t="shared" si="39"/>
        <v>264093</v>
      </c>
      <c r="Q501" s="6">
        <f>MIN(Table1[Unit Price])/Table1[[#This Row],[Unit Price]]</f>
        <v>3.5460992907801421E-2</v>
      </c>
      <c r="R501" s="8">
        <f>IF(Table1[[#This Row],[Delivery Delay]]&gt;0,1,0)</f>
        <v>1</v>
      </c>
      <c r="S501" s="6">
        <f>(Table1[[#This Row],[OTD]]*0.4)+(Table1[[#This Row],[Quality Rate]]*0.3)+(Table1[[#This Row],[Fill Rate]]*0.2)+(Table1[[#This Row],[Cost Score]]*0.1)</f>
        <v>0.45169788113892473</v>
      </c>
      <c r="T501">
        <f>MAX(Table1[OTD])</f>
        <v>1</v>
      </c>
      <c r="U501" t="str">
        <f>IF(Table1[[#This Row],[Vendor Score]]&gt;=90%,"Excellent",IF(Table1[[#This Row],[Vendor Score]]&gt;=75%,"Moderate","Poor"))</f>
        <v>Poor</v>
      </c>
    </row>
  </sheetData>
  <conditionalFormatting sqref="U2:U501">
    <cfRule type="cellIs" dxfId="107" priority="1" operator="equal">
      <formula>"Poor"</formula>
    </cfRule>
    <cfRule type="cellIs" dxfId="106" priority="2" operator="equal">
      <formula>"Moderate"</formula>
    </cfRule>
    <cfRule type="cellIs" dxfId="105" priority="3" operator="equal">
      <formula>"Excellent"</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2665-7C24-42DB-A726-5E9F0170DC50}">
  <dimension ref="B2:I29"/>
  <sheetViews>
    <sheetView workbookViewId="0">
      <selection activeCell="B2" sqref="B2:E13"/>
    </sheetView>
  </sheetViews>
  <sheetFormatPr defaultRowHeight="14.5" x14ac:dyDescent="0.35"/>
  <sheetData>
    <row r="2" spans="2:9" x14ac:dyDescent="0.35">
      <c r="B2" t="s">
        <v>560</v>
      </c>
      <c r="C2" t="s">
        <v>554</v>
      </c>
      <c r="D2" t="s">
        <v>555</v>
      </c>
      <c r="E2" t="s">
        <v>575</v>
      </c>
      <c r="F2" t="s">
        <v>557</v>
      </c>
      <c r="H2" t="s">
        <v>560</v>
      </c>
      <c r="I2" t="s">
        <v>558</v>
      </c>
    </row>
    <row r="3" spans="2:9" x14ac:dyDescent="0.35">
      <c r="B3" t="s">
        <v>43</v>
      </c>
      <c r="C3" s="6">
        <v>0.97872340425531912</v>
      </c>
      <c r="D3" s="6">
        <v>0.98814565584689218</v>
      </c>
      <c r="E3" s="7">
        <v>7.6840886246513876E-2</v>
      </c>
      <c r="F3" s="6">
        <v>0.88863758882949984</v>
      </c>
      <c r="G3" s="7"/>
      <c r="H3" t="s">
        <v>13</v>
      </c>
      <c r="I3">
        <v>14695</v>
      </c>
    </row>
    <row r="4" spans="2:9" x14ac:dyDescent="0.35">
      <c r="B4" t="s">
        <v>39</v>
      </c>
      <c r="C4" s="6">
        <v>0.95918367346938771</v>
      </c>
      <c r="D4" s="6">
        <v>0.97841745107356071</v>
      </c>
      <c r="E4" s="7">
        <v>8.0059281095738816E-2</v>
      </c>
      <c r="F4" s="6">
        <v>0.8770424760018688</v>
      </c>
      <c r="G4" s="7"/>
      <c r="H4" t="s">
        <v>46</v>
      </c>
      <c r="I4">
        <v>12752</v>
      </c>
    </row>
    <row r="5" spans="2:9" x14ac:dyDescent="0.35">
      <c r="B5" t="s">
        <v>27</v>
      </c>
      <c r="C5" s="6">
        <v>0.95238095238095233</v>
      </c>
      <c r="D5" s="6">
        <v>0.98703947003178816</v>
      </c>
      <c r="E5" s="7">
        <v>9.8065088612125331E-2</v>
      </c>
      <c r="F5" s="6">
        <v>0.87919470850957093</v>
      </c>
      <c r="G5" s="7"/>
      <c r="H5" t="s">
        <v>60</v>
      </c>
      <c r="I5">
        <v>9303</v>
      </c>
    </row>
    <row r="6" spans="2:9" x14ac:dyDescent="0.35">
      <c r="B6" t="s">
        <v>18</v>
      </c>
      <c r="C6" s="6">
        <v>0.92982456140350878</v>
      </c>
      <c r="D6" s="6">
        <v>0.95726241049440808</v>
      </c>
      <c r="E6" s="7">
        <v>6.6584592629716527E-2</v>
      </c>
      <c r="F6" s="6">
        <v>0.85802545440193301</v>
      </c>
      <c r="G6" s="7"/>
      <c r="H6" t="s">
        <v>23</v>
      </c>
      <c r="I6">
        <v>9102</v>
      </c>
    </row>
    <row r="7" spans="2:9" x14ac:dyDescent="0.35">
      <c r="B7" t="s">
        <v>60</v>
      </c>
      <c r="C7" s="6">
        <v>0.89830508474576276</v>
      </c>
      <c r="D7" s="6">
        <v>0.93784884761068354</v>
      </c>
      <c r="E7" s="7">
        <v>8.2801658678178958E-2</v>
      </c>
      <c r="F7" s="6">
        <v>0.84137420489695736</v>
      </c>
      <c r="G7" s="7"/>
      <c r="H7" t="s">
        <v>18</v>
      </c>
      <c r="I7">
        <v>5462</v>
      </c>
    </row>
    <row r="8" spans="2:9" x14ac:dyDescent="0.35">
      <c r="B8" t="s">
        <v>46</v>
      </c>
      <c r="C8" s="6">
        <v>0.89655172413793105</v>
      </c>
      <c r="D8" s="6">
        <v>0.90815693933449515</v>
      </c>
      <c r="E8" s="7">
        <v>9.7073878389304286E-2</v>
      </c>
      <c r="F8" s="6">
        <v>0.83269458056157963</v>
      </c>
      <c r="G8" s="7"/>
      <c r="H8" t="s">
        <v>79</v>
      </c>
      <c r="I8">
        <v>5246</v>
      </c>
    </row>
    <row r="9" spans="2:9" x14ac:dyDescent="0.35">
      <c r="B9" t="s">
        <v>31</v>
      </c>
      <c r="C9" s="6">
        <v>0.88095238095238093</v>
      </c>
      <c r="D9" s="6">
        <v>0.96800494442260121</v>
      </c>
      <c r="E9" s="7">
        <v>5.4513852079533062E-2</v>
      </c>
      <c r="F9" s="6">
        <v>0.83952262520911414</v>
      </c>
      <c r="G9" s="7"/>
      <c r="H9" t="s">
        <v>31</v>
      </c>
      <c r="I9">
        <v>3508</v>
      </c>
    </row>
    <row r="10" spans="2:9" x14ac:dyDescent="0.35">
      <c r="B10" t="s">
        <v>79</v>
      </c>
      <c r="C10" s="6">
        <v>0.8571428571428571</v>
      </c>
      <c r="D10" s="6">
        <v>0.94802116212337662</v>
      </c>
      <c r="E10" s="7">
        <v>0.12817136270201476</v>
      </c>
      <c r="F10" s="6">
        <v>0.83200832941753367</v>
      </c>
      <c r="G10" s="7"/>
      <c r="H10" t="s">
        <v>39</v>
      </c>
      <c r="I10">
        <v>2624</v>
      </c>
    </row>
    <row r="11" spans="2:9" x14ac:dyDescent="0.35">
      <c r="B11" t="s">
        <v>23</v>
      </c>
      <c r="C11" s="6">
        <v>0.7857142857142857</v>
      </c>
      <c r="D11" s="6">
        <v>0.9280510626377042</v>
      </c>
      <c r="E11" s="7">
        <v>8.9797331993659038E-2</v>
      </c>
      <c r="F11" s="6">
        <v>0.79445123502116355</v>
      </c>
      <c r="G11" s="7"/>
      <c r="H11" t="s">
        <v>43</v>
      </c>
      <c r="I11">
        <v>1300</v>
      </c>
    </row>
    <row r="12" spans="2:9" x14ac:dyDescent="0.35">
      <c r="B12" t="s">
        <v>13</v>
      </c>
      <c r="C12" s="6">
        <v>0.64583333333333337</v>
      </c>
      <c r="D12" s="6">
        <v>0.87861385004909887</v>
      </c>
      <c r="E12" s="7">
        <v>9.8883764672140315E-2</v>
      </c>
      <c r="F12" s="6">
        <v>0.72357996813045711</v>
      </c>
      <c r="G12" s="7"/>
      <c r="H12" t="s">
        <v>27</v>
      </c>
      <c r="I12">
        <v>1075</v>
      </c>
    </row>
    <row r="13" spans="2:9" x14ac:dyDescent="0.35">
      <c r="B13" t="s">
        <v>553</v>
      </c>
      <c r="C13" s="6">
        <v>0.878</v>
      </c>
      <c r="D13" s="6">
        <v>0.94605704268470947</v>
      </c>
      <c r="E13" s="13">
        <v>8.6823830108410632E-2</v>
      </c>
      <c r="F13" s="6">
        <v>0.83587489628929768</v>
      </c>
      <c r="G13" s="7"/>
      <c r="H13" t="s">
        <v>553</v>
      </c>
      <c r="I13">
        <v>65067</v>
      </c>
    </row>
    <row r="15" spans="2:9" x14ac:dyDescent="0.35">
      <c r="B15" s="5" t="s">
        <v>561</v>
      </c>
      <c r="E15" s="4" t="s">
        <v>562</v>
      </c>
    </row>
    <row r="16" spans="2:9" x14ac:dyDescent="0.35">
      <c r="B16" t="s">
        <v>4</v>
      </c>
      <c r="C16" t="s">
        <v>556</v>
      </c>
      <c r="E16" t="s">
        <v>560</v>
      </c>
      <c r="F16" t="s">
        <v>567</v>
      </c>
      <c r="H16" t="s">
        <v>560</v>
      </c>
      <c r="I16" t="s">
        <v>556</v>
      </c>
    </row>
    <row r="17" spans="2:9" x14ac:dyDescent="0.35">
      <c r="B17" t="s">
        <v>70</v>
      </c>
      <c r="C17">
        <v>11666914</v>
      </c>
      <c r="E17" t="s">
        <v>13</v>
      </c>
      <c r="F17">
        <v>17</v>
      </c>
      <c r="H17" t="s">
        <v>46</v>
      </c>
      <c r="I17">
        <v>17650262</v>
      </c>
    </row>
    <row r="18" spans="2:9" x14ac:dyDescent="0.35">
      <c r="B18" t="s">
        <v>63</v>
      </c>
      <c r="C18">
        <v>11168085</v>
      </c>
      <c r="E18" t="s">
        <v>23</v>
      </c>
      <c r="F18">
        <v>12</v>
      </c>
      <c r="H18" t="s">
        <v>18</v>
      </c>
      <c r="I18">
        <v>17143945</v>
      </c>
    </row>
    <row r="19" spans="2:9" x14ac:dyDescent="0.35">
      <c r="B19" t="s">
        <v>52</v>
      </c>
      <c r="C19">
        <v>10038762</v>
      </c>
      <c r="E19" t="s">
        <v>79</v>
      </c>
      <c r="F19">
        <v>6</v>
      </c>
      <c r="H19" t="s">
        <v>43</v>
      </c>
      <c r="I19">
        <v>17079564</v>
      </c>
    </row>
    <row r="20" spans="2:9" x14ac:dyDescent="0.35">
      <c r="B20" t="s">
        <v>96</v>
      </c>
      <c r="C20">
        <v>11619046</v>
      </c>
      <c r="E20" t="s">
        <v>46</v>
      </c>
      <c r="F20">
        <v>6</v>
      </c>
      <c r="H20" t="s">
        <v>60</v>
      </c>
      <c r="I20">
        <v>16822670</v>
      </c>
    </row>
    <row r="21" spans="2:9" x14ac:dyDescent="0.35">
      <c r="B21" t="s">
        <v>24</v>
      </c>
      <c r="C21">
        <v>14847313</v>
      </c>
      <c r="E21" t="s">
        <v>60</v>
      </c>
      <c r="F21">
        <v>6</v>
      </c>
      <c r="H21" t="s">
        <v>39</v>
      </c>
      <c r="I21">
        <v>16584907</v>
      </c>
    </row>
    <row r="22" spans="2:9" x14ac:dyDescent="0.35">
      <c r="B22" t="s">
        <v>34</v>
      </c>
      <c r="C22">
        <v>15825998</v>
      </c>
      <c r="E22" t="s">
        <v>31</v>
      </c>
      <c r="F22">
        <v>5</v>
      </c>
      <c r="H22" t="s">
        <v>23</v>
      </c>
      <c r="I22">
        <v>15824235</v>
      </c>
    </row>
    <row r="23" spans="2:9" x14ac:dyDescent="0.35">
      <c r="B23" t="s">
        <v>20</v>
      </c>
      <c r="C23">
        <v>15148841</v>
      </c>
      <c r="E23" t="s">
        <v>18</v>
      </c>
      <c r="F23">
        <v>4</v>
      </c>
      <c r="H23" t="s">
        <v>31</v>
      </c>
      <c r="I23">
        <v>14904559</v>
      </c>
    </row>
    <row r="24" spans="2:9" x14ac:dyDescent="0.35">
      <c r="B24" t="s">
        <v>40</v>
      </c>
      <c r="C24">
        <v>10197668</v>
      </c>
      <c r="E24" t="s">
        <v>27</v>
      </c>
      <c r="F24">
        <v>2</v>
      </c>
      <c r="H24" t="s">
        <v>13</v>
      </c>
      <c r="I24">
        <v>13662668</v>
      </c>
    </row>
    <row r="25" spans="2:9" x14ac:dyDescent="0.35">
      <c r="B25" t="s">
        <v>28</v>
      </c>
      <c r="C25">
        <v>10809151</v>
      </c>
      <c r="E25" t="s">
        <v>39</v>
      </c>
      <c r="F25">
        <v>2</v>
      </c>
      <c r="H25" t="s">
        <v>27</v>
      </c>
      <c r="I25">
        <v>12712598</v>
      </c>
    </row>
    <row r="26" spans="2:9" x14ac:dyDescent="0.35">
      <c r="B26" t="s">
        <v>57</v>
      </c>
      <c r="C26">
        <v>16605357</v>
      </c>
      <c r="E26" t="s">
        <v>43</v>
      </c>
      <c r="F26">
        <v>1</v>
      </c>
      <c r="H26" t="s">
        <v>79</v>
      </c>
      <c r="I26">
        <v>10735271</v>
      </c>
    </row>
    <row r="27" spans="2:9" x14ac:dyDescent="0.35">
      <c r="B27" t="s">
        <v>47</v>
      </c>
      <c r="C27">
        <v>8736628</v>
      </c>
      <c r="E27" t="s">
        <v>553</v>
      </c>
      <c r="F27">
        <v>61</v>
      </c>
      <c r="H27" t="s">
        <v>553</v>
      </c>
      <c r="I27">
        <v>153120679</v>
      </c>
    </row>
    <row r="28" spans="2:9" x14ac:dyDescent="0.35">
      <c r="B28" t="s">
        <v>15</v>
      </c>
      <c r="C28">
        <v>16456916</v>
      </c>
    </row>
    <row r="29" spans="2:9" x14ac:dyDescent="0.35">
      <c r="B29" t="s">
        <v>553</v>
      </c>
      <c r="C29">
        <v>153120679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PIVOT TABLE</vt:lpstr>
      <vt:lpstr>AVP DASHBOARD</vt:lpstr>
      <vt:lpstr>DASHBOARD</vt:lpstr>
      <vt:lpstr>Sheet1</vt:lpstr>
      <vt:lpstr>SOURCE DATA</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Karthiga Parthasarathi</dc:creator>
  <cp:lastModifiedBy>Karthiga Parthasarathi</cp:lastModifiedBy>
  <dcterms:created xsi:type="dcterms:W3CDTF">2026-09-01T15:56:58Z</dcterms:created>
  <dcterms:modified xsi:type="dcterms:W3CDTF">2026-09-19T19:51:09Z</dcterms:modified>
</cp:coreProperties>
</file>